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0"/>
  <workbookPr/>
  <mc:AlternateContent xmlns:mc="http://schemas.openxmlformats.org/markup-compatibility/2006">
    <mc:Choice Requires="x15">
      <x15ac:absPath xmlns:x15ac="http://schemas.microsoft.com/office/spreadsheetml/2010/11/ac" url="https://kaust-my.sharepoint.com/personal/wallerr_kaust_edu_sa/Documents/TIE212-TEA-Course/Course-Content/"/>
    </mc:Choice>
  </mc:AlternateContent>
  <xr:revisionPtr revIDLastSave="614" documentId="8_{8C5B95B7-389F-2048-928D-244C4A3D78A1}" xr6:coauthVersionLast="47" xr6:coauthVersionMax="47" xr10:uidLastSave="{1659BCF9-1362-984C-889A-CC0EF78AA55A}"/>
  <bookViews>
    <workbookView xWindow="0" yWindow="740" windowWidth="34560" windowHeight="21600" tabRatio="500" xr2:uid="{00000000-000D-0000-FFFF-FFFF00000000}"/>
  </bookViews>
  <sheets>
    <sheet name="About &amp; Assumptions" sheetId="1" r:id="rId1"/>
    <sheet name="CapEx BOQ" sheetId="2" r:id="rId2"/>
    <sheet name="OpEx BOQ" sheetId="3" r:id="rId3"/>
    <sheet name="TEA Metrics" sheetId="4" r:id="rId4"/>
    <sheet name="BoQ" sheetId="5" r:id="rId5"/>
  </sheet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0" i="4" l="1"/>
  <c r="F73" i="5"/>
  <c r="F72" i="5"/>
  <c r="F38" i="5"/>
  <c r="F39" i="5"/>
  <c r="F40" i="5"/>
  <c r="F41" i="5"/>
  <c r="F43" i="5"/>
  <c r="F44" i="5"/>
  <c r="F45" i="5"/>
  <c r="F46" i="5"/>
  <c r="F53" i="5"/>
  <c r="F54" i="5"/>
  <c r="F51" i="5"/>
  <c r="F67" i="5"/>
  <c r="F68" i="5"/>
  <c r="F55" i="5"/>
  <c r="F57" i="5"/>
  <c r="F58" i="5"/>
  <c r="F59" i="5"/>
  <c r="F60" i="5"/>
  <c r="F61" i="5"/>
  <c r="F63" i="5"/>
  <c r="F64" i="5"/>
  <c r="F65" i="5"/>
  <c r="F69" i="5"/>
  <c r="F70" i="5"/>
  <c r="F71" i="5"/>
  <c r="F50" i="5"/>
  <c r="F49" i="5"/>
  <c r="F48" i="5"/>
  <c r="F5" i="5"/>
  <c r="F6" i="5"/>
  <c r="F7" i="5"/>
  <c r="F8" i="5"/>
  <c r="F10" i="5"/>
  <c r="F11" i="5"/>
  <c r="F12" i="5"/>
  <c r="F13" i="5"/>
  <c r="F15" i="5"/>
  <c r="F16" i="5"/>
  <c r="F17" i="5"/>
  <c r="F18" i="5"/>
  <c r="F20" i="5"/>
  <c r="F21" i="5"/>
  <c r="F22" i="5"/>
  <c r="F23" i="5"/>
  <c r="F25" i="5"/>
  <c r="F26" i="5"/>
  <c r="F27" i="5"/>
  <c r="F28" i="5"/>
  <c r="F30" i="5"/>
  <c r="F31" i="5"/>
  <c r="F32" i="5"/>
  <c r="F33" i="5"/>
  <c r="F34" i="5"/>
  <c r="F35" i="5"/>
  <c r="F36" i="5"/>
  <c r="F38" i="3"/>
  <c r="F39" i="3"/>
  <c r="F40" i="3"/>
  <c r="F37" i="3"/>
  <c r="F35" i="3"/>
  <c r="F36" i="3"/>
  <c r="F6" i="3"/>
  <c r="F7" i="3"/>
  <c r="F8" i="3"/>
  <c r="F9" i="3"/>
  <c r="F11" i="3"/>
  <c r="F12" i="3"/>
  <c r="F13" i="3"/>
  <c r="F14" i="3"/>
  <c r="F21" i="3"/>
  <c r="F22" i="3"/>
  <c r="F19" i="3"/>
  <c r="F23" i="3"/>
  <c r="F25" i="3"/>
  <c r="F26" i="3"/>
  <c r="F27" i="3"/>
  <c r="F28" i="3"/>
  <c r="F29" i="3"/>
  <c r="F31" i="3"/>
  <c r="F32" i="3"/>
  <c r="F33" i="3"/>
  <c r="F16" i="3"/>
  <c r="F17" i="3"/>
  <c r="F18" i="3"/>
  <c r="F35" i="2"/>
  <c r="F31" i="2"/>
  <c r="F32" i="2"/>
  <c r="F33" i="2"/>
  <c r="F34" i="2"/>
  <c r="F6" i="2"/>
  <c r="F7" i="2"/>
  <c r="F8" i="2"/>
  <c r="F9" i="2"/>
  <c r="F11" i="2"/>
  <c r="F12" i="2"/>
  <c r="F13" i="2"/>
  <c r="F14" i="2"/>
  <c r="F16" i="2"/>
  <c r="F17" i="2"/>
  <c r="F18" i="2"/>
  <c r="F19" i="2"/>
  <c r="F36" i="2"/>
  <c r="F37" i="2"/>
  <c r="F38" i="2"/>
  <c r="F21" i="2"/>
  <c r="F22" i="2"/>
  <c r="F23" i="2"/>
  <c r="F24" i="2"/>
  <c r="F26" i="2"/>
  <c r="F27" i="2"/>
  <c r="F28" i="2"/>
  <c r="F29" i="2"/>
  <c r="B5" i="4"/>
  <c r="C17" i="4"/>
  <c r="C21" i="4"/>
  <c r="C26" i="4"/>
  <c r="B6" i="4"/>
  <c r="D19" i="4"/>
  <c r="D21" i="4"/>
  <c r="D26" i="4"/>
  <c r="E19" i="4"/>
  <c r="E21" i="4"/>
  <c r="E26" i="4"/>
  <c r="F19" i="4"/>
  <c r="F21" i="4"/>
  <c r="F26" i="4"/>
  <c r="G19" i="4"/>
  <c r="G21" i="4"/>
  <c r="G26" i="4"/>
  <c r="H19" i="4"/>
  <c r="H21" i="4"/>
  <c r="H26" i="4"/>
  <c r="I19" i="4"/>
  <c r="I21" i="4"/>
  <c r="I26" i="4"/>
  <c r="J19" i="4"/>
  <c r="J21" i="4"/>
  <c r="J26" i="4"/>
  <c r="K19" i="4"/>
  <c r="K21" i="4"/>
  <c r="K26" i="4"/>
  <c r="L19" i="4"/>
  <c r="L21" i="4"/>
  <c r="L26" i="4"/>
  <c r="M19" i="4"/>
  <c r="M21" i="4"/>
  <c r="M26" i="4"/>
  <c r="N19" i="4"/>
  <c r="N21" i="4"/>
  <c r="N26" i="4"/>
  <c r="O19" i="4"/>
  <c r="O21" i="4"/>
  <c r="O26" i="4"/>
  <c r="P19" i="4"/>
  <c r="P21" i="4"/>
  <c r="P26" i="4"/>
  <c r="Q19" i="4"/>
  <c r="Q21" i="4"/>
  <c r="Q26" i="4"/>
  <c r="R19" i="4"/>
  <c r="R21" i="4"/>
  <c r="R26" i="4"/>
  <c r="S19" i="4"/>
  <c r="S21" i="4"/>
  <c r="S26" i="4"/>
  <c r="T19" i="4"/>
  <c r="T21" i="4"/>
  <c r="T26" i="4"/>
  <c r="U19" i="4"/>
  <c r="U21" i="4"/>
  <c r="U26" i="4"/>
  <c r="V19" i="4"/>
  <c r="V21" i="4"/>
  <c r="V26" i="4"/>
  <c r="W19" i="4"/>
  <c r="W21" i="4"/>
  <c r="W26" i="4"/>
  <c r="C25" i="4"/>
  <c r="B11" i="4"/>
  <c r="D24" i="4"/>
  <c r="D25" i="4"/>
  <c r="E25" i="4"/>
  <c r="F25" i="4"/>
  <c r="G25" i="4"/>
  <c r="H25" i="4"/>
  <c r="I24" i="4"/>
  <c r="I25" i="4"/>
  <c r="J24" i="4"/>
  <c r="J25" i="4"/>
  <c r="K24" i="4"/>
  <c r="K25" i="4"/>
  <c r="L24" i="4"/>
  <c r="L25" i="4"/>
  <c r="M24" i="4"/>
  <c r="M25" i="4"/>
  <c r="N24" i="4"/>
  <c r="N25" i="4"/>
  <c r="O24" i="4"/>
  <c r="O25" i="4"/>
  <c r="P24" i="4"/>
  <c r="P25" i="4"/>
  <c r="Q24" i="4"/>
  <c r="Q25" i="4"/>
  <c r="R24" i="4"/>
  <c r="R25" i="4"/>
  <c r="S24" i="4"/>
  <c r="S25" i="4"/>
  <c r="T24" i="4"/>
  <c r="T25" i="4"/>
  <c r="U24" i="4"/>
  <c r="U25" i="4"/>
  <c r="V24" i="4"/>
  <c r="V25" i="4"/>
  <c r="W24" i="4"/>
  <c r="W25" i="4"/>
  <c r="B33" i="4"/>
  <c r="B13" i="4"/>
  <c r="T18" i="4"/>
  <c r="J18" i="4"/>
  <c r="S18" i="4"/>
  <c r="I18" i="4"/>
  <c r="R18" i="4"/>
  <c r="H18" i="4"/>
  <c r="Q18" i="4"/>
  <c r="G18" i="4"/>
  <c r="P18" i="4"/>
  <c r="F18" i="4"/>
  <c r="U18" i="4"/>
  <c r="O18" i="4"/>
  <c r="E18" i="4"/>
  <c r="N18" i="4"/>
  <c r="D18" i="4"/>
  <c r="D20" i="4"/>
  <c r="D22" i="4"/>
  <c r="K18" i="4"/>
  <c r="W18" i="4"/>
  <c r="M18" i="4"/>
  <c r="V18" i="4"/>
  <c r="L18" i="4"/>
  <c r="R20" i="4"/>
  <c r="R22" i="4"/>
  <c r="S20" i="4"/>
  <c r="S22" i="4"/>
  <c r="P20" i="4"/>
  <c r="P22" i="4"/>
  <c r="E20" i="4"/>
  <c r="E22" i="4"/>
  <c r="V20" i="4"/>
  <c r="V22" i="4"/>
  <c r="M20" i="4"/>
  <c r="M22" i="4"/>
  <c r="G20" i="4"/>
  <c r="G22" i="4"/>
  <c r="W20" i="4"/>
  <c r="W22" i="4"/>
  <c r="Q20" i="4"/>
  <c r="Q22" i="4"/>
  <c r="K20" i="4"/>
  <c r="K22" i="4"/>
  <c r="H20" i="4"/>
  <c r="H22" i="4"/>
  <c r="B31" i="4"/>
  <c r="N20" i="4"/>
  <c r="N22" i="4"/>
  <c r="I20" i="4"/>
  <c r="I22" i="4"/>
  <c r="O20" i="4"/>
  <c r="O22" i="4"/>
  <c r="J20" i="4"/>
  <c r="J22" i="4"/>
  <c r="U20" i="4"/>
  <c r="U22" i="4"/>
  <c r="T20" i="4"/>
  <c r="T22" i="4"/>
  <c r="L20" i="4"/>
  <c r="L22" i="4"/>
  <c r="F20" i="4"/>
  <c r="F22" i="4"/>
  <c r="C20" i="4"/>
  <c r="C22" i="4"/>
  <c r="B29" i="4"/>
  <c r="C23" i="4"/>
  <c r="D23" i="4"/>
  <c r="E23" i="4"/>
  <c r="F23" i="4"/>
  <c r="G23" i="4"/>
  <c r="H23" i="4"/>
  <c r="I23" i="4"/>
  <c r="J23" i="4"/>
  <c r="K23" i="4"/>
  <c r="L23" i="4"/>
  <c r="M23" i="4"/>
  <c r="N23" i="4"/>
  <c r="O23" i="4"/>
  <c r="P23" i="4"/>
  <c r="Q23" i="4"/>
  <c r="R23" i="4"/>
  <c r="S23" i="4"/>
  <c r="T23" i="4"/>
  <c r="U23" i="4"/>
  <c r="V23" i="4"/>
  <c r="W23" i="4"/>
  <c r="B32" i="4"/>
</calcChain>
</file>

<file path=xl/sharedStrings.xml><?xml version="1.0" encoding="utf-8"?>
<sst xmlns="http://schemas.openxmlformats.org/spreadsheetml/2006/main" count="555" uniqueCount="301">
  <si>
    <t>TIE 212 — Techno-Economic Analysis</t>
  </si>
  <si>
    <t>TEA Assignment Template</t>
  </si>
  <si>
    <t>PROJECT DESCRIPTION</t>
  </si>
  <si>
    <t>Project Name</t>
  </si>
  <si>
    <t>Technology</t>
  </si>
  <si>
    <t>Target Market</t>
  </si>
  <si>
    <t>Location</t>
  </si>
  <si>
    <t>Design Capacity</t>
  </si>
  <si>
    <t>Value Proposition</t>
  </si>
  <si>
    <t>KEY ASSUMPTIONS</t>
  </si>
  <si>
    <t>Parameter</t>
  </si>
  <si>
    <t>Value</t>
  </si>
  <si>
    <t>Notes / Justification</t>
  </si>
  <si>
    <t>Project Lifetime (years)</t>
  </si>
  <si>
    <t>Discount Rate (%)</t>
  </si>
  <si>
    <t>Capacity Factor (%)</t>
  </si>
  <si>
    <t>Annual Production</t>
  </si>
  <si>
    <t>Output Unit</t>
  </si>
  <si>
    <t>Sale Price (per unit)</t>
  </si>
  <si>
    <t>Annual Revenue</t>
  </si>
  <si>
    <t>Salvage Value</t>
  </si>
  <si>
    <t>INCUMBENT / BENCHMARK</t>
  </si>
  <si>
    <t>Incumbent Technology</t>
  </si>
  <si>
    <t>Incumbent Unit Cost</t>
  </si>
  <si>
    <t>Source</t>
  </si>
  <si>
    <t>AACE REFERENCE</t>
  </si>
  <si>
    <t>Note:</t>
  </si>
  <si>
    <t>Enter your venture's capital cost items below. Add or remove rows as needed.</t>
  </si>
  <si>
    <t>WBS</t>
  </si>
  <si>
    <t>Description</t>
  </si>
  <si>
    <t>Unit</t>
  </si>
  <si>
    <t>Qty</t>
  </si>
  <si>
    <t>Unit Cost ($)</t>
  </si>
  <si>
    <t>Total Cost ($)</t>
  </si>
  <si>
    <t>Source / Notes</t>
  </si>
  <si>
    <t>1.0</t>
  </si>
  <si>
    <t>1.1</t>
  </si>
  <si>
    <t>[unit]</t>
  </si>
  <si>
    <t>1.2</t>
  </si>
  <si>
    <t>1.3</t>
  </si>
  <si>
    <t>2.0</t>
  </si>
  <si>
    <t>2.1</t>
  </si>
  <si>
    <t>2.2</t>
  </si>
  <si>
    <t>2.3</t>
  </si>
  <si>
    <t>3.0</t>
  </si>
  <si>
    <t>3.1</t>
  </si>
  <si>
    <t>3.2</t>
  </si>
  <si>
    <t>3.3</t>
  </si>
  <si>
    <t>SUBTOTAL (before contingency)</t>
  </si>
  <si>
    <t>Contingency</t>
  </si>
  <si>
    <t>TOTAL CAPEX</t>
  </si>
  <si>
    <t>Operating Expenditure — Bill of Quantities (Annual)</t>
  </si>
  <si>
    <t>Enter your venture's annual operating cost items below. Add or remove rows as needed.</t>
  </si>
  <si>
    <t>4.0</t>
  </si>
  <si>
    <t>4.1</t>
  </si>
  <si>
    <t>4.2</t>
  </si>
  <si>
    <t>5.0</t>
  </si>
  <si>
    <t>5.1</t>
  </si>
  <si>
    <t>5.2</t>
  </si>
  <si>
    <t>6.0</t>
  </si>
  <si>
    <t>6.1</t>
  </si>
  <si>
    <t>6.2</t>
  </si>
  <si>
    <t>7.0</t>
  </si>
  <si>
    <t>7.1</t>
  </si>
  <si>
    <t>7.2</t>
  </si>
  <si>
    <t>TOTAL ANNUAL OPEX</t>
  </si>
  <si>
    <t>TEA Performance Metrics</t>
  </si>
  <si>
    <t>Fill in the yellow-highlighted input cells. Formulas will calculate automatically.</t>
  </si>
  <si>
    <t>KEY INPUTS</t>
  </si>
  <si>
    <t>Total CapEx ($)</t>
  </si>
  <si>
    <t>Annual OpEx ($)</t>
  </si>
  <si>
    <t>Discount Rate</t>
  </si>
  <si>
    <t>Design Capacity (units/day)</t>
  </si>
  <si>
    <t>Capacity Factor</t>
  </si>
  <si>
    <t>Annual Production (units/yr)</t>
  </si>
  <si>
    <t>Sale Price ($/unit)</t>
  </si>
  <si>
    <t>Annual Revenue ($)</t>
  </si>
  <si>
    <t>ANNUAL CASH FLOW</t>
  </si>
  <si>
    <t>Formulas populate automatically from your inputs above</t>
  </si>
  <si>
    <t>Year</t>
  </si>
  <si>
    <t>Capital Expenditure</t>
  </si>
  <si>
    <t>Revenue</t>
  </si>
  <si>
    <t>Operating Expenditure</t>
  </si>
  <si>
    <t>Net Cash Flow</t>
  </si>
  <si>
    <t>Discount Factor</t>
  </si>
  <si>
    <t>Discounted Cash Flow</t>
  </si>
  <si>
    <t>Cumulative DCF</t>
  </si>
  <si>
    <t>Discounted Production</t>
  </si>
  <si>
    <t>Discounted Total Cost</t>
  </si>
  <si>
    <t>TEA SUMMARY METRICS</t>
  </si>
  <si>
    <t>Net Present Value (NPV)</t>
  </si>
  <si>
    <t>Sum of all discounted cash flows</t>
  </si>
  <si>
    <t>Internal Rate of Return (IRR)</t>
  </si>
  <si>
    <t>Discount rate that makes NPV = 0</t>
  </si>
  <si>
    <t>Simple Payback Period (years)</t>
  </si>
  <si>
    <t>CapEx / Annual Net Cash Inflow</t>
  </si>
  <si>
    <t>Discounted Payback (years)</t>
  </si>
  <si>
    <t>Year Cumulative DCF turns positive</t>
  </si>
  <si>
    <t>Levelized Cost ($/unit)</t>
  </si>
  <si>
    <t>Total discounted cost / Total discounted production</t>
  </si>
  <si>
    <t>Classify your estimate per AACE (Class 5-1). Most venture estimates are Class 5 (accuracy: -20% to -50% on low end, +30% to +100% on high end). See Session 2 slidedeck for details.</t>
  </si>
  <si>
    <t>Due: March 31, 2026. Send via email to rebekah.waller@kaust.edu.sa by 11:59PM.</t>
  </si>
  <si>
    <t>Subtotal — [Category 1]</t>
  </si>
  <si>
    <t>Subtotal — [Category 2]</t>
  </si>
  <si>
    <t>Subtotal — [Category 3]</t>
  </si>
  <si>
    <t>Subtotal — [Category 4]</t>
  </si>
  <si>
    <t>Subtotal — [Category 5]</t>
  </si>
  <si>
    <t>Subtotal — [Category 6]</t>
  </si>
  <si>
    <t>Subtotal — [Category 7]</t>
  </si>
  <si>
    <t>EDGAME</t>
  </si>
  <si>
    <t xml:space="preserve">K-12 Math and Science education. Initial focus on GCC private and international schools, especially Saudi Arabia and the UAE, with later expansion to US charter and progressive schools.
[Customer: Teachers </t>
  </si>
  <si>
    <t>KAUST, Saudi Arabia, with initial market focus in GCC</t>
  </si>
  <si>
    <t>[Students do not stay engaged because conventional learning and assessment methods are often passive, repetitive, and boring]
EDGAME replaces traditional homework and assessment with immersive game-based experiences that reveal not only whether students are correct, but why they struggle. It captures behavioral, cognitive, and engagement signals that help teachers identify misconceptions, frustration points, learning patterns, and actionable next steps.</t>
  </si>
  <si>
    <t>AI-powered game-based learning analytics platform built as a web-first product using Next.js 14, KAPLAY.js, SurrealDB, Railway, pnpm workspaces, and Turborepo.</t>
  </si>
  <si>
    <t>Up to 10 teacher users/day, 100 student assignment sessions/day, and 20 assignments/day.</t>
  </si>
  <si>
    <t>Venture Setup</t>
  </si>
  <si>
    <t>Domain Registration (1st Year)</t>
  </si>
  <si>
    <t>domain</t>
  </si>
  <si>
    <t>4.3</t>
  </si>
  <si>
    <t>web domain</t>
  </si>
  <si>
    <t>Business/entity setup</t>
  </si>
  <si>
    <t>Namecheaplists.com 1year (11.28 usd)
Google domain 7 usd with Google WorkSpace</t>
  </si>
  <si>
    <t>Capital Expenditure — Bill of Quantities (Currency: SAR)</t>
  </si>
  <si>
    <t>Web Legal and Policy Setup</t>
  </si>
  <si>
    <t>setup</t>
  </si>
  <si>
    <t>Ssh Certificate
Termly Starter (1 year)</t>
  </si>
  <si>
    <t>Registration of company and paperwork: Open account in Gov, Phone Registration, Paperwork and Transportation, Bank Account
https://stripe.com/atlas</t>
  </si>
  <si>
    <t>Basic logo / brand starter package</t>
  </si>
  <si>
    <t>UI kit / design templates</t>
  </si>
  <si>
    <t>Landing/demo visual assets</t>
  </si>
  <si>
    <t>Package</t>
  </si>
  <si>
    <t>https://www.figma.com/pricing/</t>
  </si>
  <si>
    <t>https://www.figma.com/pricing/ Free in the beggining</t>
  </si>
  <si>
    <t>Fiverr baseline $50 usd 
https://www.fiverr.com/categories/graphics-design/logo-design</t>
  </si>
  <si>
    <t>Canva / Envato baseline $25 usd https://www.canva.com/</t>
  </si>
  <si>
    <t>Brand Design &amp; Product Start</t>
  </si>
  <si>
    <t>Game &amp; Content Build Enablement</t>
  </si>
  <si>
    <t>Optional</t>
  </si>
  <si>
    <t>Core game asset bundle</t>
  </si>
  <si>
    <t>Supplemental asset pack</t>
  </si>
  <si>
    <t>Prototype polish (limited contractor kickoff)</t>
  </si>
  <si>
    <t>Kenney assets https://kenney.nl/assets</t>
  </si>
  <si>
    <t>Itch.io https://itch.io/game-assets</t>
  </si>
  <si>
    <t>Minimal external support</t>
  </si>
  <si>
    <t>Curriculum &amp; Learning Foundations</t>
  </si>
  <si>
    <t>Curriculum alignment</t>
  </si>
  <si>
    <t>Question bank creation</t>
  </si>
  <si>
    <t>Assessment structure materials</t>
  </si>
  <si>
    <t>Minimal tooling format, price based on interviews with people working on edtech</t>
  </si>
  <si>
    <t xml:space="preserve"> Data Governance &amp; Trust</t>
  </si>
  <si>
    <t>Privacy implementation</t>
  </si>
  <si>
    <t>5.3</t>
  </si>
  <si>
    <t>6.3</t>
  </si>
  <si>
    <t>Governance documentation</t>
  </si>
  <si>
    <t>AI safety / review setup</t>
  </si>
  <si>
    <t>Pilot Readiness</t>
  </si>
  <si>
    <t>Demo / pitch materials</t>
  </si>
  <si>
    <t>Teacher onboarding materials</t>
  </si>
  <si>
    <t>Pilot testing setup</t>
  </si>
  <si>
    <t>Canva elements, slides</t>
  </si>
  <si>
    <t>Documents and templates, initial guide for the teachers.</t>
  </si>
  <si>
    <t>Surveys and setup</t>
  </si>
  <si>
    <t>Setup</t>
  </si>
  <si>
    <t>Internal development (no external cost)</t>
  </si>
  <si>
    <t>Internal setup based on product development requirements</t>
  </si>
  <si>
    <t>In average the software ventures are estimated in 5% to 10%. The contingency usually in the capex are related to the initial documentation. The AI increased that amount to the 15% due to the cost of related rapid expansion needed in the technology context. 
The materials could share cost with infraestructura of Kaust such as printers of formats needed for the teachers at the MVP Stage.</t>
  </si>
  <si>
    <t>SAR</t>
  </si>
  <si>
    <t>USD</t>
  </si>
  <si>
    <t>7.3</t>
  </si>
  <si>
    <t>AI &amp; LLM Operations</t>
  </si>
  <si>
    <t>Claude / OpenAI API usage</t>
  </si>
  <si>
    <t>month</t>
  </si>
  <si>
    <t>Conservative early-stage usage ($50/month) based on low-volume inference</t>
  </si>
  <si>
    <t>GitHub Copilot</t>
  </si>
  <si>
    <t>user/month</t>
  </si>
  <si>
    <t>https://github.com/features/copilot</t>
  </si>
  <si>
    <t>Cursor / AI IDE tools</t>
  </si>
  <si>
    <t>Cursor pricing baseline ($20 usd per month of each individual)</t>
  </si>
  <si>
    <t xml:space="preserve"> </t>
  </si>
  <si>
    <t>8.0</t>
  </si>
  <si>
    <t>Cloud Infrastructure</t>
  </si>
  <si>
    <t>Vercel Pro</t>
  </si>
  <si>
    <t>https://vercel.com/pricing</t>
  </si>
  <si>
    <t>Railway hosting</t>
  </si>
  <si>
    <t>https://railway.app/pricing</t>
  </si>
  <si>
    <t>Database (Supabase Pro)</t>
  </si>
  <si>
    <t>https://supabase.com/pricing</t>
  </si>
  <si>
    <t>8.1</t>
  </si>
  <si>
    <t>8.2</t>
  </si>
  <si>
    <t>8.3</t>
  </si>
  <si>
    <t>Analytics &amp; Monitoring</t>
  </si>
  <si>
    <t>Subtotal — [Category 8]</t>
  </si>
  <si>
    <t>PostHog</t>
  </si>
  <si>
    <t>Free tier https://posthog.com/pricing</t>
  </si>
  <si>
    <t>Sentry</t>
  </si>
  <si>
    <t>Free tier https://sentry.io/pricing/</t>
  </si>
  <si>
    <t>9.0</t>
  </si>
  <si>
    <t>9.1</t>
  </si>
  <si>
    <t>9.2</t>
  </si>
  <si>
    <t>9.3</t>
  </si>
  <si>
    <t>Logging / telemetry buffer</t>
  </si>
  <si>
    <t>Conservative overhead</t>
  </si>
  <si>
    <t>Communication &amp; Delivery</t>
  </si>
  <si>
    <t>Email (Resend / transactional)</t>
  </si>
  <si>
    <t>https://resend.com/pricing</t>
  </si>
  <si>
    <t>Domain renewal</t>
  </si>
  <si>
    <t>year</t>
  </si>
  <si>
    <t>Namecheap renewal</t>
  </si>
  <si>
    <t>10.0</t>
  </si>
  <si>
    <t>10.1</t>
  </si>
  <si>
    <t>10.2</t>
  </si>
  <si>
    <t>Product &amp; Dev Tools</t>
  </si>
  <si>
    <t>Figma (1 paid seat)</t>
  </si>
  <si>
    <t>Notion</t>
  </si>
  <si>
    <t>https://www.notion.so/pricing</t>
  </si>
  <si>
    <t>Google Workspace</t>
  </si>
  <si>
    <t>https://workspace.google.com/pricing.html</t>
  </si>
  <si>
    <t>1Password</t>
  </si>
  <si>
    <t>team/month</t>
  </si>
  <si>
    <t>https://1password.com/pricing</t>
  </si>
  <si>
    <t>11.0</t>
  </si>
  <si>
    <t>11.1</t>
  </si>
  <si>
    <t>11.2</t>
  </si>
  <si>
    <t>11.3</t>
  </si>
  <si>
    <t>11.4</t>
  </si>
  <si>
    <t>12.0</t>
  </si>
  <si>
    <t>12.1</t>
  </si>
  <si>
    <t>12.2</t>
  </si>
  <si>
    <t>-</t>
  </si>
  <si>
    <t>Optional Content Production</t>
  </si>
  <si>
    <t>Part time game artist</t>
  </si>
  <si>
    <t>Growth &amp; Pilot Execution</t>
  </si>
  <si>
    <t>Teacher outreach / content</t>
  </si>
  <si>
    <t>Community-driven growth</t>
  </si>
  <si>
    <t>Travel / pilot visits</t>
  </si>
  <si>
    <t>Founder-led school visits</t>
  </si>
  <si>
    <t>Based on internal BoM ($3K usd/month)</t>
  </si>
  <si>
    <t>Subtotal — [Category 9]</t>
  </si>
  <si>
    <t>Subtotal — [Category 10]</t>
  </si>
  <si>
    <t>Subtotal — [Category 11]</t>
  </si>
  <si>
    <t>Subtotal — [Category 12]</t>
  </si>
  <si>
    <t>Subtotal — [Category Optional]</t>
  </si>
  <si>
    <t>First Year</t>
  </si>
  <si>
    <t>Subtotal</t>
  </si>
  <si>
    <t>Cost 4: The contingency has been set at 80% to reflect the high level of uncertainty associated with an early-stage, AI-driven EdTech venture. A significant portion of this uncertainty is related to potential hiring needs, particularly the possible onboarding of additional engineering and content development resources as the product evolves. Furthermore, infrastructure costs, especially cloud services, may increase as user interaction and system complexity grow.
Another critical factor is the evolving regulatory landscape around artificial intelligence and data governance. While AI is currently not strictly regulated, it is highly likely that new regulations will be introduced in the near future, particularly regarding data privacy, storage, and processing. These changes could require architectural adjustments, data redundancy mechanisms, and compliance-related investments, all of which may significantly impact costs.
Additionally, API-related expenses introduce variability, as costs depend on usage volume, integrations, and the level of customization required for different learning experiences. Given these combined uncertainties across hiring, infrastructure, regulation, and API consumption, a higher contingency buffer of 80% has been intentionally applied to ensure financial robustness and flexibility.</t>
  </si>
  <si>
    <t xml:space="preserve"> Bill of Quantities (Currency: SAR)</t>
  </si>
  <si>
    <t>TOTAL ANNUAL</t>
  </si>
  <si>
    <t>Based on realistic Edtech platforms</t>
  </si>
  <si>
    <t xml:space="preserve">Sessions/day - Students &amp; Teachers Connections </t>
  </si>
  <si>
    <t>1 Year</t>
  </si>
  <si>
    <t>IRR</t>
  </si>
  <si>
    <t xml:space="preserve">Year 0: -3,576  </t>
  </si>
  <si>
    <t xml:space="preserve">Year 1: -261,147  </t>
  </si>
  <si>
    <t xml:space="preserve">Year 2: -218,667  </t>
  </si>
  <si>
    <t xml:space="preserve">Year 3: -98,667  </t>
  </si>
  <si>
    <t xml:space="preserve">Year 4: +201,333  </t>
  </si>
  <si>
    <t>Year 5: +921,333</t>
  </si>
  <si>
    <t>41% – 47%</t>
  </si>
  <si>
    <t>Production (sessions)</t>
  </si>
  <si>
    <t>Revenue (SAR)</t>
  </si>
  <si>
    <t>OpEx (SAR)</t>
  </si>
  <si>
    <t>Net Cash Flow (SAR)</t>
  </si>
  <si>
    <t>Metric</t>
  </si>
  <si>
    <t>Interpretation</t>
  </si>
  <si>
    <t>NPV</t>
  </si>
  <si>
    <t>Near break-even</t>
  </si>
  <si>
    <t>High return</t>
  </si>
  <si>
    <t>Payback Period</t>
  </si>
  <si>
    <t>Year 4–5</t>
  </si>
  <si>
    <t>Startup-typical</t>
  </si>
  <si>
    <t>Appropriate</t>
  </si>
  <si>
    <t>Levelized Cost</t>
  </si>
  <si>
    <t>Improves with scale</t>
  </si>
  <si>
    <t>Revenue Growth</t>
  </si>
  <si>
    <t>Exponential</t>
  </si>
  <si>
    <t>Strong scalability</t>
  </si>
  <si>
    <t>18K SAR</t>
  </si>
  <si>
    <t>1.8 SAR</t>
  </si>
  <si>
    <t>5 years</t>
  </si>
  <si>
    <t>The project lifetime is intentionally aligned with the venture’s financial and strategic horizon. EDGAME is currently in a pre-pilot/pilot stage, and a 5-year window captures the full transition from MVP validation (Years 1–2) to scale (Years 3–5), as defined in the business model. Extending beyond 5 years would introduce speculative assumptions with low reliability, which is inconsistent with a Class 4 estimate.</t>
  </si>
  <si>
    <t>A high discount rate is appropriate due to the venture’s early-stage risk profile: no confirmed customers, uncertain adoption rates, dependency on emerging AI infrastructure, and evolving regulatory environment. In venture and TEA contexts, early-stage digital startups typically range between 20–30%. This reflects opportunity cost of capital and execution risk.</t>
  </si>
  <si>
    <t>This reflects realistic utilization in an educational context. Unlike industrial systems, EDGAME usage is intermittent and tied to classroom schedules, teacher adoption, and student engagement patterns. In early-stage pilots, not all assigned sessions are completed, and usage is non-daily. Therefore, 40% is a conservative and defensible estimate of actual system utilization.</t>
  </si>
  <si>
    <t>100 sessions/day</t>
  </si>
  <si>
    <t xml:space="preserve">This represents a pilot scale deployment, not full scale infrastructure. It assumes 5 teachers with 20 students each actively using the platform. This is consistent with early validation scenarios described in the venture strategy (school pilots before scaling)  </t>
  </si>
  <si>
    <t>14,600 sessions/year</t>
  </si>
  <si>
    <t>Derived from Design Capacity × 365 × Capacity Factor. This ensures internal consistency and avoids hardcoding values. It reflects actual expected engagement rather than theoretical maximum usage.</t>
  </si>
  <si>
    <t>Learning sessions</t>
  </si>
  <si>
    <t>A session (game-based assignment interaction) is the most appropriate unit because EDGAME’s value is generated through student engagement and behavioral data capture. Unlike traditional EdTech tools that measure completion, EDGAME measures interaction depth and learning behavior.</t>
  </si>
  <si>
    <t>1.2 SAR/session</t>
  </si>
  <si>
    <t>Derived from the pricing model of ~$6–10 per student per year  . When translated into per-session value, this reflects low marginal pricing to enable adoption (penetration strategy). This is consistent with the venture’s strategy to prioritize adoption over early monetization.</t>
  </si>
  <si>
    <t>17,520 SAR</t>
  </si>
  <si>
    <t>This reflects pilot-level revenue and is intentionally low. It is consistent with a pre-scale business where value is still being validated. It aligns with the strategy of offering free pilots and converting a limited number of users initially  </t>
  </si>
  <si>
    <t>0 SAR</t>
  </si>
  <si>
    <t>EDGAME is a software-based venture with no significant physical assets. Its value lies in user base, data, and intellectual property, which are not captured through salvage value in TEA. Therefore, setting this to zero is standard and appropriate.</t>
  </si>
  <si>
    <t>Traditional assessments (worksheets, LMS quizzes, Kahoot-style tools)</t>
  </si>
  <si>
    <t>These tools focus on correctness and completion rather than behavioral learning insights. EDGAME differentiates by capturing how students think, not just outcomes  </t>
  </si>
  <si>
    <t>45–75 SAR/student/year</t>
  </si>
  <si>
    <t>This supports a penetration pricing strategy to drive adoption and build switching costs through behavioral data accumulation </t>
  </si>
  <si>
    <t>Based on tools like IXL and similar platforms priced at $12–20/year. These are established benchmarks in EdTech pricing and represent the current willingness to pay in the market.</t>
  </si>
  <si>
    <t>EDGAME priced lower initially (6–10 USD)</t>
  </si>
  <si>
    <t>Class 5 going to Class 4 (technology prices are available but the development and business stablished are not clear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</si>
</sst>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
    <numFmt numFmtId="165" formatCode="0.0%"/>
    <numFmt numFmtId="166" formatCode="\$#,##0;&quot;($&quot;#,##0\);\-"/>
    <numFmt numFmtId="167" formatCode="0.0000"/>
    <numFmt numFmtId="168" formatCode="0.0"/>
    <numFmt numFmtId="169" formatCode="_([$$-409]* #,##0.00_);_([$$-409]* \(#,##0.00\);_([$$-409]* &quot;-&quot;??_);_(@_)"/>
  </numFmts>
  <fonts count="15" x14ac:knownFonts="1">
    <font>
      <sz val="11"/>
      <color theme="1"/>
      <name val="Calibri"/>
      <family val="2"/>
      <charset val="1"/>
    </font>
    <font>
      <sz val="10"/>
      <name val="Arial"/>
      <family val="2"/>
    </font>
    <font>
      <b/>
      <sz val="14"/>
      <name val="Arial"/>
      <family val="2"/>
    </font>
    <font>
      <b/>
      <sz val="12"/>
      <name val="Arial"/>
      <family val="2"/>
    </font>
    <font>
      <b/>
      <sz val="10"/>
      <color rgb="FFCC0000"/>
      <name val="Arial"/>
      <family val="2"/>
    </font>
    <font>
      <b/>
      <sz val="11"/>
      <name val="Arial"/>
      <family val="2"/>
    </font>
    <font>
      <b/>
      <sz val="10"/>
      <name val="Arial"/>
      <family val="2"/>
    </font>
    <font>
      <i/>
      <sz val="9"/>
      <color rgb="FF0066CC"/>
      <name val="Arial"/>
      <family val="2"/>
    </font>
    <font>
      <b/>
      <sz val="11"/>
      <color rgb="FFFFFFFF"/>
      <name val="Arial"/>
      <family val="2"/>
    </font>
    <font>
      <i/>
      <sz val="9"/>
      <color rgb="FF666666"/>
      <name val="Arial"/>
      <family val="2"/>
    </font>
    <font>
      <sz val="10"/>
      <name val="Arial"/>
      <family val="2"/>
    </font>
    <font>
      <sz val="6"/>
      <name val="Yu Gothic"/>
      <family val="2"/>
      <charset val="128"/>
    </font>
    <font>
      <sz val="10"/>
      <color theme="0"/>
      <name val="Arial"/>
      <family val="2"/>
    </font>
    <font>
      <sz val="11"/>
      <color theme="0"/>
      <name val="Calibri"/>
      <family val="2"/>
      <charset val="1"/>
    </font>
    <font>
      <b/>
      <sz val="11"/>
      <color theme="1"/>
      <name val="Calibri"/>
      <family val="2"/>
      <charset val="1"/>
    </font>
  </fonts>
  <fills count="9">
    <fill>
      <patternFill patternType="none"/>
    </fill>
    <fill>
      <patternFill patternType="gray125"/>
    </fill>
    <fill>
      <patternFill patternType="solid">
        <fgColor rgb="FF2C2C2C"/>
        <bgColor rgb="FF1E3A5F"/>
      </patternFill>
    </fill>
    <fill>
      <patternFill patternType="solid">
        <fgColor rgb="FFE8E8E8"/>
        <bgColor rgb="FFF2F2F2"/>
      </patternFill>
    </fill>
    <fill>
      <patternFill patternType="solid">
        <fgColor rgb="FFF2F2F2"/>
        <bgColor rgb="FFE8E8E8"/>
      </patternFill>
    </fill>
    <fill>
      <patternFill patternType="solid">
        <fgColor rgb="FFFFF2CC"/>
        <bgColor rgb="FFF2F2F2"/>
      </patternFill>
    </fill>
    <fill>
      <patternFill patternType="solid">
        <fgColor theme="3" tint="-0.249977111117893"/>
        <bgColor indexed="64"/>
      </patternFill>
    </fill>
    <fill>
      <patternFill patternType="solid">
        <fgColor theme="3"/>
        <bgColor indexed="64"/>
      </patternFill>
    </fill>
    <fill>
      <patternFill patternType="solid">
        <fgColor theme="6" tint="0.39997558519241921"/>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4">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1" xfId="0" applyFont="1" applyBorder="1"/>
    <xf numFmtId="0" fontId="7" fillId="0" borderId="1" xfId="0" applyFont="1" applyBorder="1"/>
    <xf numFmtId="0" fontId="8" fillId="2" borderId="1" xfId="0" applyFont="1" applyFill="1" applyBorder="1" applyAlignment="1">
      <alignment horizontal="center" vertical="center" wrapText="1"/>
    </xf>
    <xf numFmtId="0" fontId="6" fillId="0" borderId="0" xfId="0" applyFont="1"/>
    <xf numFmtId="0" fontId="9" fillId="0" borderId="0" xfId="0" applyFont="1"/>
    <xf numFmtId="0" fontId="6" fillId="3" borderId="1" xfId="0" applyFont="1" applyFill="1" applyBorder="1" applyAlignment="1">
      <alignment vertical="center" wrapText="1"/>
    </xf>
    <xf numFmtId="0" fontId="10" fillId="0" borderId="1" xfId="0" applyFont="1" applyBorder="1" applyAlignment="1">
      <alignment vertical="center" wrapText="1"/>
    </xf>
    <xf numFmtId="0" fontId="7" fillId="0" borderId="1" xfId="0" applyFont="1" applyBorder="1" applyAlignment="1">
      <alignment vertical="center" wrapText="1"/>
    </xf>
    <xf numFmtId="3" fontId="10" fillId="0" borderId="1" xfId="0" applyNumberFormat="1" applyFont="1" applyBorder="1" applyAlignment="1">
      <alignment vertical="center" wrapText="1"/>
    </xf>
    <xf numFmtId="164" fontId="10" fillId="0" borderId="1" xfId="0" applyNumberFormat="1" applyFont="1" applyBorder="1" applyAlignment="1">
      <alignment vertical="center" wrapText="1"/>
    </xf>
    <xf numFmtId="0" fontId="6" fillId="4" borderId="1" xfId="0" applyFont="1" applyFill="1" applyBorder="1" applyAlignment="1">
      <alignment vertical="center" wrapText="1"/>
    </xf>
    <xf numFmtId="0" fontId="6" fillId="5" borderId="1" xfId="0" applyFont="1" applyFill="1" applyBorder="1" applyAlignment="1">
      <alignment vertical="center" wrapText="1"/>
    </xf>
    <xf numFmtId="0" fontId="10" fillId="5" borderId="1" xfId="0" applyFont="1" applyFill="1" applyBorder="1"/>
    <xf numFmtId="165" fontId="10" fillId="5" borderId="1" xfId="0" applyNumberFormat="1" applyFont="1" applyFill="1" applyBorder="1"/>
    <xf numFmtId="3" fontId="10" fillId="5" borderId="1" xfId="0" applyNumberFormat="1" applyFont="1" applyFill="1" applyBorder="1"/>
    <xf numFmtId="3" fontId="10" fillId="0" borderId="1" xfId="0" applyNumberFormat="1" applyFont="1" applyBorder="1"/>
    <xf numFmtId="166" fontId="10" fillId="0" borderId="1" xfId="0" applyNumberFormat="1" applyFont="1" applyBorder="1"/>
    <xf numFmtId="0" fontId="10" fillId="0" borderId="1" xfId="0" applyFont="1" applyBorder="1"/>
    <xf numFmtId="0" fontId="6" fillId="4" borderId="1" xfId="0" applyFont="1" applyFill="1" applyBorder="1"/>
    <xf numFmtId="166" fontId="6" fillId="4" borderId="1" xfId="0" applyNumberFormat="1" applyFont="1" applyFill="1" applyBorder="1"/>
    <xf numFmtId="167" fontId="10" fillId="0" borderId="1" xfId="0" applyNumberFormat="1" applyFont="1" applyBorder="1"/>
    <xf numFmtId="165" fontId="10" fillId="0" borderId="1" xfId="0" applyNumberFormat="1" applyFont="1" applyBorder="1"/>
    <xf numFmtId="168" fontId="10" fillId="0" borderId="1" xfId="0" applyNumberFormat="1" applyFont="1" applyBorder="1"/>
    <xf numFmtId="169" fontId="10" fillId="0" borderId="1" xfId="0" applyNumberFormat="1" applyFont="1" applyBorder="1" applyAlignment="1">
      <alignment vertical="center" wrapText="1"/>
    </xf>
    <xf numFmtId="169" fontId="6" fillId="4" borderId="1" xfId="0" applyNumberFormat="1" applyFont="1" applyFill="1" applyBorder="1" applyAlignment="1">
      <alignment vertical="center" wrapText="1"/>
    </xf>
    <xf numFmtId="169" fontId="6" fillId="5" borderId="1" xfId="0" applyNumberFormat="1" applyFont="1" applyFill="1" applyBorder="1" applyAlignment="1">
      <alignment vertical="center" wrapText="1"/>
    </xf>
    <xf numFmtId="169" fontId="10" fillId="0" borderId="1" xfId="0" applyNumberFormat="1" applyFont="1" applyBorder="1"/>
    <xf numFmtId="169" fontId="10" fillId="5" borderId="1" xfId="0" applyNumberFormat="1" applyFont="1" applyFill="1" applyBorder="1"/>
    <xf numFmtId="165" fontId="1" fillId="0" borderId="1" xfId="0" applyNumberFormat="1" applyFont="1" applyBorder="1" applyAlignment="1">
      <alignment vertical="center" wrapText="1"/>
    </xf>
    <xf numFmtId="0" fontId="10" fillId="0" borderId="1" xfId="0" applyNumberFormat="1" applyFont="1" applyBorder="1"/>
    <xf numFmtId="0" fontId="7" fillId="0" borderId="1" xfId="0" applyFont="1" applyBorder="1" applyAlignment="1">
      <alignment wrapText="1"/>
    </xf>
    <xf numFmtId="9" fontId="10" fillId="0" borderId="1" xfId="0" applyNumberFormat="1" applyFont="1" applyBorder="1" applyAlignment="1">
      <alignment vertical="center" wrapText="1"/>
    </xf>
    <xf numFmtId="0" fontId="0" fillId="0" borderId="0" xfId="0" applyAlignment="1">
      <alignment wrapText="1"/>
    </xf>
    <xf numFmtId="169" fontId="12" fillId="6" borderId="1" xfId="0" applyNumberFormat="1" applyFont="1" applyFill="1" applyBorder="1" applyAlignment="1">
      <alignment vertical="center" wrapText="1"/>
    </xf>
    <xf numFmtId="0" fontId="13" fillId="6" borderId="0" xfId="0" applyFont="1" applyFill="1"/>
    <xf numFmtId="43" fontId="13" fillId="6" borderId="0" xfId="0" applyNumberFormat="1" applyFont="1" applyFill="1"/>
    <xf numFmtId="0" fontId="13" fillId="7" borderId="0" xfId="0" applyFont="1" applyFill="1"/>
    <xf numFmtId="43" fontId="13" fillId="7" borderId="0" xfId="0" applyNumberFormat="1" applyFont="1" applyFill="1"/>
    <xf numFmtId="0" fontId="14" fillId="0" borderId="0" xfId="0" applyFont="1" applyAlignment="1">
      <alignment wrapText="1"/>
    </xf>
    <xf numFmtId="0" fontId="14" fillId="8" borderId="0" xfId="0" applyFont="1" applyFill="1" applyAlignment="1">
      <alignment horizontal="center" vertical="center" wrapText="1"/>
    </xf>
    <xf numFmtId="0" fontId="0" fillId="8" borderId="0" xfId="0" applyFill="1" applyAlignment="1">
      <alignment wrapText="1"/>
    </xf>
    <xf numFmtId="0" fontId="0" fillId="0" borderId="0" xfId="0" applyAlignment="1">
      <alignment horizontal="center" wrapText="1"/>
    </xf>
    <xf numFmtId="9" fontId="0" fillId="0" borderId="0" xfId="0" applyNumberFormat="1" applyAlignment="1">
      <alignment horizontal="center" wrapText="1"/>
    </xf>
    <xf numFmtId="0" fontId="9" fillId="0" borderId="1" xfId="0" applyFont="1" applyBorder="1" applyAlignment="1">
      <alignment wrapText="1"/>
    </xf>
    <xf numFmtId="0" fontId="6" fillId="0" borderId="1" xfId="0" applyFont="1" applyBorder="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990000"/>
      <rgbColor rgb="FF008000"/>
      <rgbColor rgb="FF000080"/>
      <rgbColor rgb="FF7F6000"/>
      <rgbColor rgb="FF800080"/>
      <rgbColor rgb="FF008080"/>
      <rgbColor rgb="FFCCCCCC"/>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8E8"/>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E3A5F"/>
      <rgbColor rgb="FF339966"/>
      <rgbColor rgb="FF003300"/>
      <rgbColor rgb="FF274E13"/>
      <rgbColor rgb="FF993300"/>
      <rgbColor rgb="FF993366"/>
      <rgbColor rgb="FF333399"/>
      <rgbColor rgb="FF2C2C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figma.com/pricing/%20Free%20in%20the%20beggin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figma.com/pricing/%20Free%20in%20the%20beggi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C2C2C"/>
  </sheetPr>
  <dimension ref="A1:C31"/>
  <sheetViews>
    <sheetView tabSelected="1" zoomScale="150" zoomScaleNormal="100" workbookViewId="0">
      <selection activeCell="E23" sqref="E23"/>
    </sheetView>
  </sheetViews>
  <sheetFormatPr defaultColWidth="8.609375" defaultRowHeight="15" customHeight="1" x14ac:dyDescent="0.2"/>
  <cols>
    <col min="1" max="1" width="29.99609375" customWidth="1"/>
    <col min="2" max="2" width="50.04296875" customWidth="1"/>
    <col min="3" max="3" width="34.97265625" customWidth="1"/>
  </cols>
  <sheetData>
    <row r="1" spans="1:3" ht="18" x14ac:dyDescent="0.2">
      <c r="A1" s="1" t="s">
        <v>0</v>
      </c>
    </row>
    <row r="2" spans="1:3" x14ac:dyDescent="0.2">
      <c r="A2" s="2" t="s">
        <v>1</v>
      </c>
    </row>
    <row r="3" spans="1:3" x14ac:dyDescent="0.2">
      <c r="A3" s="3" t="s">
        <v>101</v>
      </c>
    </row>
    <row r="5" spans="1:3" x14ac:dyDescent="0.2">
      <c r="A5" s="4" t="s">
        <v>2</v>
      </c>
    </row>
    <row r="6" spans="1:3" x14ac:dyDescent="0.2">
      <c r="A6" s="5" t="s">
        <v>3</v>
      </c>
      <c r="B6" s="6" t="s">
        <v>109</v>
      </c>
    </row>
    <row r="7" spans="1:3" ht="32.25" x14ac:dyDescent="0.2">
      <c r="A7" s="5" t="s">
        <v>4</v>
      </c>
      <c r="B7" s="35" t="s">
        <v>113</v>
      </c>
    </row>
    <row r="8" spans="1:3" ht="42.75" x14ac:dyDescent="0.2">
      <c r="A8" s="5" t="s">
        <v>5</v>
      </c>
      <c r="B8" s="35" t="s">
        <v>110</v>
      </c>
    </row>
    <row r="9" spans="1:3" x14ac:dyDescent="0.2">
      <c r="A9" s="5" t="s">
        <v>6</v>
      </c>
      <c r="B9" s="6" t="s">
        <v>111</v>
      </c>
    </row>
    <row r="10" spans="1:3" ht="22.5" x14ac:dyDescent="0.2">
      <c r="A10" s="5" t="s">
        <v>7</v>
      </c>
      <c r="B10" s="35" t="s">
        <v>114</v>
      </c>
    </row>
    <row r="11" spans="1:3" ht="84" x14ac:dyDescent="0.2">
      <c r="A11" s="5" t="s">
        <v>8</v>
      </c>
      <c r="B11" s="35" t="s">
        <v>112</v>
      </c>
    </row>
    <row r="13" spans="1:3" x14ac:dyDescent="0.2">
      <c r="A13" s="4" t="s">
        <v>9</v>
      </c>
    </row>
    <row r="14" spans="1:3" x14ac:dyDescent="0.2">
      <c r="A14" s="7" t="s">
        <v>10</v>
      </c>
      <c r="B14" s="7" t="s">
        <v>11</v>
      </c>
      <c r="C14" s="7" t="s">
        <v>12</v>
      </c>
    </row>
    <row r="15" spans="1:3" ht="92.25" customHeight="1" x14ac:dyDescent="0.2">
      <c r="A15" s="49" t="s">
        <v>13</v>
      </c>
      <c r="B15" s="52" t="s">
        <v>278</v>
      </c>
      <c r="C15" s="48" t="s">
        <v>279</v>
      </c>
    </row>
    <row r="16" spans="1:3" ht="84" x14ac:dyDescent="0.2">
      <c r="A16" s="49" t="s">
        <v>14</v>
      </c>
      <c r="B16" s="52">
        <v>0.25</v>
      </c>
      <c r="C16" s="48" t="s">
        <v>280</v>
      </c>
    </row>
    <row r="17" spans="1:3" ht="94.5" x14ac:dyDescent="0.2">
      <c r="A17" s="49" t="s">
        <v>15</v>
      </c>
      <c r="B17" s="52">
        <v>0.4</v>
      </c>
      <c r="C17" s="48" t="s">
        <v>281</v>
      </c>
    </row>
    <row r="18" spans="1:3" ht="63.75" x14ac:dyDescent="0.2">
      <c r="A18" s="49" t="s">
        <v>7</v>
      </c>
      <c r="B18" s="52" t="s">
        <v>282</v>
      </c>
      <c r="C18" s="48" t="s">
        <v>283</v>
      </c>
    </row>
    <row r="19" spans="1:3" ht="53.25" x14ac:dyDescent="0.2">
      <c r="A19" s="49" t="s">
        <v>16</v>
      </c>
      <c r="B19" s="52" t="s">
        <v>284</v>
      </c>
      <c r="C19" s="48" t="s">
        <v>285</v>
      </c>
    </row>
    <row r="20" spans="1:3" ht="74.25" x14ac:dyDescent="0.2">
      <c r="A20" s="49" t="s">
        <v>17</v>
      </c>
      <c r="B20" s="52" t="s">
        <v>286</v>
      </c>
      <c r="C20" s="48" t="s">
        <v>287</v>
      </c>
    </row>
    <row r="21" spans="1:3" ht="63.75" x14ac:dyDescent="0.2">
      <c r="A21" s="49" t="s">
        <v>18</v>
      </c>
      <c r="B21" s="52" t="s">
        <v>288</v>
      </c>
      <c r="C21" s="48" t="s">
        <v>289</v>
      </c>
    </row>
    <row r="22" spans="1:3" ht="63.75" x14ac:dyDescent="0.2">
      <c r="A22" s="49" t="s">
        <v>19</v>
      </c>
      <c r="B22" s="52" t="s">
        <v>290</v>
      </c>
      <c r="C22" s="48" t="s">
        <v>291</v>
      </c>
    </row>
    <row r="23" spans="1:3" ht="63.75" x14ac:dyDescent="0.2">
      <c r="A23" s="49" t="s">
        <v>20</v>
      </c>
      <c r="B23" s="52" t="s">
        <v>292</v>
      </c>
      <c r="C23" s="48" t="s">
        <v>293</v>
      </c>
    </row>
    <row r="24" spans="1:3" ht="15" customHeight="1" x14ac:dyDescent="0.2">
      <c r="A24" s="50"/>
      <c r="B24" s="50"/>
    </row>
    <row r="25" spans="1:3" x14ac:dyDescent="0.2">
      <c r="A25" s="51" t="s">
        <v>21</v>
      </c>
      <c r="B25" s="50"/>
    </row>
    <row r="26" spans="1:3" ht="42.75" x14ac:dyDescent="0.2">
      <c r="A26" s="49" t="s">
        <v>22</v>
      </c>
      <c r="B26" s="53" t="s">
        <v>294</v>
      </c>
      <c r="C26" s="48" t="s">
        <v>295</v>
      </c>
    </row>
    <row r="27" spans="1:3" ht="42.75" x14ac:dyDescent="0.2">
      <c r="A27" s="49" t="s">
        <v>23</v>
      </c>
      <c r="B27" s="52" t="s">
        <v>296</v>
      </c>
      <c r="C27" s="48" t="s">
        <v>298</v>
      </c>
    </row>
    <row r="28" spans="1:3" ht="32.25" x14ac:dyDescent="0.2">
      <c r="A28" s="49" t="s">
        <v>24</v>
      </c>
      <c r="B28" s="52" t="s">
        <v>299</v>
      </c>
      <c r="C28" s="48" t="s">
        <v>297</v>
      </c>
    </row>
    <row r="30" spans="1:3" x14ac:dyDescent="0.2">
      <c r="A30" s="4" t="s">
        <v>25</v>
      </c>
      <c r="B30" t="s">
        <v>300</v>
      </c>
    </row>
    <row r="31" spans="1:3" x14ac:dyDescent="0.2">
      <c r="A31" s="8" t="s">
        <v>26</v>
      </c>
      <c r="B31" s="9" t="s">
        <v>100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3A5F"/>
  </sheetPr>
  <dimension ref="A1:I39"/>
  <sheetViews>
    <sheetView zoomScale="190" zoomScaleNormal="100" workbookViewId="0">
      <selection activeCell="A4" sqref="A4:G37"/>
    </sheetView>
  </sheetViews>
  <sheetFormatPr defaultColWidth="8.609375" defaultRowHeight="15" customHeight="1" x14ac:dyDescent="0.2"/>
  <cols>
    <col min="1" max="1" width="7.93359375" customWidth="1"/>
    <col min="2" max="2" width="34.97265625" customWidth="1"/>
    <col min="3" max="4" width="7.93359375" customWidth="1"/>
    <col min="5" max="6" width="14.9296875" customWidth="1"/>
    <col min="7" max="7" width="29.99609375" customWidth="1"/>
  </cols>
  <sheetData>
    <row r="1" spans="1:9" ht="18" x14ac:dyDescent="0.2">
      <c r="A1" s="1" t="s">
        <v>122</v>
      </c>
    </row>
    <row r="2" spans="1:9" x14ac:dyDescent="0.2">
      <c r="A2" s="6" t="s">
        <v>27</v>
      </c>
    </row>
    <row r="4" spans="1:9" x14ac:dyDescent="0.2">
      <c r="A4" s="7" t="s">
        <v>28</v>
      </c>
      <c r="B4" s="7" t="s">
        <v>29</v>
      </c>
      <c r="C4" s="7" t="s">
        <v>30</v>
      </c>
      <c r="D4" s="7" t="s">
        <v>31</v>
      </c>
      <c r="E4" s="7" t="s">
        <v>32</v>
      </c>
      <c r="F4" s="7" t="s">
        <v>33</v>
      </c>
      <c r="G4" s="7" t="s">
        <v>34</v>
      </c>
    </row>
    <row r="5" spans="1:9" x14ac:dyDescent="0.2">
      <c r="A5" s="10" t="s">
        <v>35</v>
      </c>
      <c r="B5" s="10" t="s">
        <v>115</v>
      </c>
      <c r="C5" s="10"/>
      <c r="D5" s="10"/>
      <c r="E5" s="10"/>
      <c r="F5" s="10"/>
      <c r="G5" s="10"/>
    </row>
    <row r="6" spans="1:9" ht="32.25" x14ac:dyDescent="0.2">
      <c r="A6" s="11" t="s">
        <v>36</v>
      </c>
      <c r="B6" s="12" t="s">
        <v>116</v>
      </c>
      <c r="C6" s="12" t="s">
        <v>117</v>
      </c>
      <c r="D6" s="13">
        <v>1</v>
      </c>
      <c r="E6" s="28">
        <v>42.3</v>
      </c>
      <c r="F6" s="28">
        <f>D6*E6</f>
        <v>42.3</v>
      </c>
      <c r="G6" s="12" t="s">
        <v>121</v>
      </c>
    </row>
    <row r="7" spans="1:9" ht="22.5" x14ac:dyDescent="0.2">
      <c r="A7" s="11" t="s">
        <v>38</v>
      </c>
      <c r="B7" s="12" t="s">
        <v>123</v>
      </c>
      <c r="C7" s="12" t="s">
        <v>119</v>
      </c>
      <c r="D7" s="13">
        <v>1</v>
      </c>
      <c r="E7" s="28">
        <v>52.5</v>
      </c>
      <c r="F7" s="28">
        <f>D7*E7</f>
        <v>52.5</v>
      </c>
      <c r="G7" s="12" t="s">
        <v>125</v>
      </c>
    </row>
    <row r="8" spans="1:9" ht="53.25" x14ac:dyDescent="0.2">
      <c r="A8" s="11" t="s">
        <v>39</v>
      </c>
      <c r="B8" s="12" t="s">
        <v>120</v>
      </c>
      <c r="C8" s="12" t="s">
        <v>124</v>
      </c>
      <c r="D8" s="13">
        <v>1</v>
      </c>
      <c r="E8" s="28">
        <v>875</v>
      </c>
      <c r="F8" s="28">
        <f>D8*E8</f>
        <v>875</v>
      </c>
      <c r="G8" s="12" t="s">
        <v>126</v>
      </c>
      <c r="H8" t="s">
        <v>137</v>
      </c>
    </row>
    <row r="9" spans="1:9" x14ac:dyDescent="0.2">
      <c r="A9" s="15"/>
      <c r="B9" s="15" t="s">
        <v>102</v>
      </c>
      <c r="C9" s="15"/>
      <c r="D9" s="15"/>
      <c r="E9" s="15"/>
      <c r="F9" s="29">
        <f>SUM(F6:F8)</f>
        <v>969.8</v>
      </c>
      <c r="G9" s="15"/>
    </row>
    <row r="10" spans="1:9" x14ac:dyDescent="0.2">
      <c r="A10" s="10" t="s">
        <v>40</v>
      </c>
      <c r="B10" s="10" t="s">
        <v>135</v>
      </c>
      <c r="C10" s="10"/>
      <c r="D10" s="10"/>
      <c r="E10" s="10"/>
      <c r="F10" s="10"/>
      <c r="G10" s="10"/>
    </row>
    <row r="11" spans="1:9" ht="32.25" x14ac:dyDescent="0.2">
      <c r="A11" s="11" t="s">
        <v>41</v>
      </c>
      <c r="B11" s="12" t="s">
        <v>127</v>
      </c>
      <c r="C11" s="12" t="s">
        <v>130</v>
      </c>
      <c r="D11" s="13">
        <v>1</v>
      </c>
      <c r="E11" s="14">
        <v>187.5</v>
      </c>
      <c r="F11" s="28">
        <f>D11*E11</f>
        <v>187.5</v>
      </c>
      <c r="G11" s="12" t="s">
        <v>133</v>
      </c>
    </row>
    <row r="12" spans="1:9" ht="22.5" x14ac:dyDescent="0.2">
      <c r="A12" s="11" t="s">
        <v>42</v>
      </c>
      <c r="B12" s="12" t="s">
        <v>128</v>
      </c>
      <c r="C12" s="12" t="s">
        <v>162</v>
      </c>
      <c r="D12" s="13">
        <v>1</v>
      </c>
      <c r="E12" s="14">
        <v>0</v>
      </c>
      <c r="F12" s="28">
        <f>D12*E12</f>
        <v>0</v>
      </c>
      <c r="G12" s="12" t="s">
        <v>132</v>
      </c>
    </row>
    <row r="13" spans="1:9" ht="22.5" x14ac:dyDescent="0.2">
      <c r="A13" s="11" t="s">
        <v>43</v>
      </c>
      <c r="B13" s="12" t="s">
        <v>129</v>
      </c>
      <c r="C13" s="12" t="s">
        <v>130</v>
      </c>
      <c r="D13" s="13">
        <v>1</v>
      </c>
      <c r="E13" s="14">
        <v>93.75</v>
      </c>
      <c r="F13" s="28">
        <f>D13*E13</f>
        <v>93.75</v>
      </c>
      <c r="G13" s="12" t="s">
        <v>134</v>
      </c>
    </row>
    <row r="14" spans="1:9" x14ac:dyDescent="0.2">
      <c r="A14" s="15"/>
      <c r="B14" s="15" t="s">
        <v>103</v>
      </c>
      <c r="C14" s="15"/>
      <c r="D14" s="15"/>
      <c r="E14" s="15"/>
      <c r="F14" s="29">
        <f>SUM(F11:F13)</f>
        <v>281.25</v>
      </c>
      <c r="G14" s="12"/>
      <c r="I14" s="12"/>
    </row>
    <row r="15" spans="1:9" x14ac:dyDescent="0.2">
      <c r="A15" s="10" t="s">
        <v>44</v>
      </c>
      <c r="B15" s="10" t="s">
        <v>136</v>
      </c>
      <c r="C15" s="10"/>
      <c r="D15" s="10"/>
      <c r="E15" s="10"/>
      <c r="F15" s="10"/>
      <c r="G15" s="10"/>
    </row>
    <row r="16" spans="1:9" x14ac:dyDescent="0.2">
      <c r="A16" s="11" t="s">
        <v>45</v>
      </c>
      <c r="B16" s="12" t="s">
        <v>138</v>
      </c>
      <c r="C16" s="12" t="s">
        <v>130</v>
      </c>
      <c r="D16" s="13">
        <v>2</v>
      </c>
      <c r="E16" s="14">
        <v>75</v>
      </c>
      <c r="F16" s="28">
        <f>D16*E16</f>
        <v>150</v>
      </c>
      <c r="G16" s="12" t="s">
        <v>141</v>
      </c>
    </row>
    <row r="17" spans="1:7" x14ac:dyDescent="0.2">
      <c r="A17" s="11" t="s">
        <v>46</v>
      </c>
      <c r="B17" s="12" t="s">
        <v>139</v>
      </c>
      <c r="C17" s="12" t="s">
        <v>130</v>
      </c>
      <c r="D17" s="13">
        <v>1</v>
      </c>
      <c r="E17" s="14">
        <v>19</v>
      </c>
      <c r="F17" s="28">
        <f>D17*E17</f>
        <v>19</v>
      </c>
      <c r="G17" s="12" t="s">
        <v>142</v>
      </c>
    </row>
    <row r="18" spans="1:7" x14ac:dyDescent="0.2">
      <c r="A18" s="11" t="s">
        <v>47</v>
      </c>
      <c r="B18" s="12" t="s">
        <v>140</v>
      </c>
      <c r="C18" s="12" t="s">
        <v>130</v>
      </c>
      <c r="D18" s="13">
        <v>1</v>
      </c>
      <c r="E18" s="14">
        <v>938</v>
      </c>
      <c r="F18" s="28">
        <f>D18*E18</f>
        <v>938</v>
      </c>
      <c r="G18" s="12" t="s">
        <v>143</v>
      </c>
    </row>
    <row r="19" spans="1:7" x14ac:dyDescent="0.2">
      <c r="A19" s="15"/>
      <c r="B19" s="15" t="s">
        <v>104</v>
      </c>
      <c r="C19" s="15"/>
      <c r="D19" s="15"/>
      <c r="E19" s="15"/>
      <c r="F19" s="29">
        <f>SUM(F16:F18)</f>
        <v>1107</v>
      </c>
      <c r="G19" s="15"/>
    </row>
    <row r="20" spans="1:7" x14ac:dyDescent="0.2">
      <c r="A20" s="10" t="s">
        <v>53</v>
      </c>
      <c r="B20" s="10" t="s">
        <v>144</v>
      </c>
      <c r="C20" s="10"/>
      <c r="D20" s="10"/>
      <c r="E20" s="10"/>
      <c r="F20" s="10"/>
      <c r="G20" s="10"/>
    </row>
    <row r="21" spans="1:7" x14ac:dyDescent="0.2">
      <c r="A21" s="11" t="s">
        <v>54</v>
      </c>
      <c r="B21" s="12" t="s">
        <v>145</v>
      </c>
      <c r="C21" s="12" t="s">
        <v>124</v>
      </c>
      <c r="D21" s="13">
        <v>1</v>
      </c>
      <c r="E21" s="14">
        <v>0</v>
      </c>
      <c r="F21" s="28">
        <f>D21*E21</f>
        <v>0</v>
      </c>
      <c r="G21" s="12" t="s">
        <v>163</v>
      </c>
    </row>
    <row r="22" spans="1:7" x14ac:dyDescent="0.2">
      <c r="A22" s="11" t="s">
        <v>55</v>
      </c>
      <c r="B22" s="12" t="s">
        <v>146</v>
      </c>
      <c r="C22" s="12" t="s">
        <v>124</v>
      </c>
      <c r="D22" s="13">
        <v>1</v>
      </c>
      <c r="E22" s="14">
        <v>0</v>
      </c>
      <c r="F22" s="28">
        <f>D22*E22</f>
        <v>0</v>
      </c>
      <c r="G22" s="12" t="s">
        <v>163</v>
      </c>
    </row>
    <row r="23" spans="1:7" ht="23.25" customHeight="1" x14ac:dyDescent="0.2">
      <c r="A23" s="11" t="s">
        <v>118</v>
      </c>
      <c r="B23" s="12" t="s">
        <v>147</v>
      </c>
      <c r="C23" s="12" t="s">
        <v>130</v>
      </c>
      <c r="D23" s="13">
        <v>1</v>
      </c>
      <c r="E23" s="14">
        <v>188</v>
      </c>
      <c r="F23" s="28">
        <f>D23*E23</f>
        <v>188</v>
      </c>
      <c r="G23" s="12" t="s">
        <v>148</v>
      </c>
    </row>
    <row r="24" spans="1:7" ht="15" customHeight="1" x14ac:dyDescent="0.2">
      <c r="A24" s="15"/>
      <c r="B24" s="15" t="s">
        <v>105</v>
      </c>
      <c r="C24" s="15"/>
      <c r="D24" s="15"/>
      <c r="E24" s="15"/>
      <c r="F24" s="29">
        <f>SUM(F21:F23)</f>
        <v>188</v>
      </c>
      <c r="G24" s="15"/>
    </row>
    <row r="25" spans="1:7" x14ac:dyDescent="0.2">
      <c r="A25" s="10" t="s">
        <v>56</v>
      </c>
      <c r="B25" s="10" t="s">
        <v>149</v>
      </c>
      <c r="C25" s="10"/>
      <c r="D25" s="10"/>
      <c r="E25" s="10"/>
      <c r="F25" s="10"/>
      <c r="G25" s="10"/>
    </row>
    <row r="26" spans="1:7" x14ac:dyDescent="0.2">
      <c r="A26" s="11" t="s">
        <v>57</v>
      </c>
      <c r="B26" s="12" t="s">
        <v>150</v>
      </c>
      <c r="C26" s="12" t="s">
        <v>124</v>
      </c>
      <c r="D26" s="13">
        <v>1</v>
      </c>
      <c r="E26" s="14">
        <v>0</v>
      </c>
      <c r="F26" s="28">
        <f>D26*E26</f>
        <v>0</v>
      </c>
      <c r="G26" s="12" t="s">
        <v>163</v>
      </c>
    </row>
    <row r="27" spans="1:7" ht="22.5" x14ac:dyDescent="0.2">
      <c r="A27" s="11" t="s">
        <v>58</v>
      </c>
      <c r="B27" s="12" t="s">
        <v>153</v>
      </c>
      <c r="C27" s="12" t="s">
        <v>124</v>
      </c>
      <c r="D27" s="13">
        <v>1</v>
      </c>
      <c r="E27" s="14">
        <v>94</v>
      </c>
      <c r="F27" s="28">
        <f>D27*E27</f>
        <v>94</v>
      </c>
      <c r="G27" s="12" t="s">
        <v>164</v>
      </c>
    </row>
    <row r="28" spans="1:7" ht="15" customHeight="1" x14ac:dyDescent="0.2">
      <c r="A28" s="11" t="s">
        <v>151</v>
      </c>
      <c r="B28" s="12" t="s">
        <v>154</v>
      </c>
      <c r="C28" s="12" t="s">
        <v>124</v>
      </c>
      <c r="D28" s="13">
        <v>1</v>
      </c>
      <c r="E28" s="14">
        <v>0</v>
      </c>
      <c r="F28" s="28">
        <f>D28*E28</f>
        <v>0</v>
      </c>
      <c r="G28" s="12" t="s">
        <v>163</v>
      </c>
    </row>
    <row r="29" spans="1:7" ht="15" customHeight="1" x14ac:dyDescent="0.2">
      <c r="A29" s="15"/>
      <c r="B29" s="15" t="s">
        <v>106</v>
      </c>
      <c r="C29" s="15"/>
      <c r="D29" s="15"/>
      <c r="E29" s="15"/>
      <c r="F29" s="29">
        <f>SUM(F26:F28)</f>
        <v>94</v>
      </c>
      <c r="G29" s="15"/>
    </row>
    <row r="30" spans="1:7" x14ac:dyDescent="0.2">
      <c r="A30" s="10" t="s">
        <v>59</v>
      </c>
      <c r="B30" s="10" t="s">
        <v>155</v>
      </c>
      <c r="C30" s="10"/>
      <c r="D30" s="10"/>
      <c r="E30" s="10"/>
      <c r="F30" s="10"/>
      <c r="G30" s="10"/>
    </row>
    <row r="31" spans="1:7" x14ac:dyDescent="0.2">
      <c r="A31" s="11" t="s">
        <v>60</v>
      </c>
      <c r="B31" s="12" t="s">
        <v>156</v>
      </c>
      <c r="C31" s="12" t="s">
        <v>37</v>
      </c>
      <c r="D31" s="13">
        <v>1</v>
      </c>
      <c r="E31" s="14">
        <v>188</v>
      </c>
      <c r="F31" s="28">
        <f>D31*E31</f>
        <v>188</v>
      </c>
      <c r="G31" s="12" t="s">
        <v>159</v>
      </c>
    </row>
    <row r="32" spans="1:7" ht="22.5" x14ac:dyDescent="0.2">
      <c r="A32" s="11" t="s">
        <v>61</v>
      </c>
      <c r="B32" s="12" t="s">
        <v>157</v>
      </c>
      <c r="C32" s="12" t="s">
        <v>37</v>
      </c>
      <c r="D32" s="13">
        <v>1</v>
      </c>
      <c r="E32" s="14">
        <v>94</v>
      </c>
      <c r="F32" s="28">
        <f>D32*E32</f>
        <v>94</v>
      </c>
      <c r="G32" s="12" t="s">
        <v>160</v>
      </c>
    </row>
    <row r="33" spans="1:7" ht="15" customHeight="1" x14ac:dyDescent="0.2">
      <c r="A33" s="11" t="s">
        <v>152</v>
      </c>
      <c r="B33" s="12" t="s">
        <v>158</v>
      </c>
      <c r="C33" s="12" t="s">
        <v>37</v>
      </c>
      <c r="D33" s="13">
        <v>1</v>
      </c>
      <c r="E33" s="14">
        <v>188</v>
      </c>
      <c r="F33" s="28">
        <f>D33*E33</f>
        <v>188</v>
      </c>
      <c r="G33" s="12" t="s">
        <v>161</v>
      </c>
    </row>
    <row r="34" spans="1:7" ht="15" customHeight="1" x14ac:dyDescent="0.2">
      <c r="A34" s="15"/>
      <c r="B34" s="15" t="s">
        <v>107</v>
      </c>
      <c r="C34" s="15"/>
      <c r="D34" s="15"/>
      <c r="E34" s="15"/>
      <c r="F34" s="29">
        <f>SUM(F31:F33)</f>
        <v>470</v>
      </c>
      <c r="G34" s="15"/>
    </row>
    <row r="35" spans="1:7" x14ac:dyDescent="0.2">
      <c r="A35" s="15"/>
      <c r="B35" s="15" t="s">
        <v>48</v>
      </c>
      <c r="C35" s="15"/>
      <c r="D35" s="15"/>
      <c r="E35" s="15"/>
      <c r="F35" s="29">
        <f>F9+F14+F19+F24+F29+F34</f>
        <v>3110.05</v>
      </c>
      <c r="G35" s="15"/>
    </row>
    <row r="36" spans="1:7" ht="117.75" customHeight="1" x14ac:dyDescent="0.2">
      <c r="A36" s="11"/>
      <c r="B36" s="11" t="s">
        <v>49</v>
      </c>
      <c r="C36" s="11"/>
      <c r="D36" s="33"/>
      <c r="E36" s="36">
        <v>0.15</v>
      </c>
      <c r="F36" s="28">
        <f>F35*E36</f>
        <v>466.50749999999999</v>
      </c>
      <c r="G36" s="12" t="s">
        <v>165</v>
      </c>
    </row>
    <row r="37" spans="1:7" ht="15" customHeight="1" x14ac:dyDescent="0.2">
      <c r="A37" s="16"/>
      <c r="B37" s="16" t="s">
        <v>50</v>
      </c>
      <c r="C37" s="16"/>
      <c r="D37" s="16"/>
      <c r="E37" s="16" t="s">
        <v>166</v>
      </c>
      <c r="F37" s="30">
        <f>F35+F36</f>
        <v>3576.5575000000003</v>
      </c>
      <c r="G37" s="16"/>
    </row>
    <row r="38" spans="1:7" ht="15" customHeight="1" x14ac:dyDescent="0.2">
      <c r="E38" s="38" t="s">
        <v>167</v>
      </c>
      <c r="F38" s="38">
        <f>F37/3.75</f>
        <v>953.74866666666674</v>
      </c>
    </row>
    <row r="39" spans="1:7" ht="15" customHeight="1" x14ac:dyDescent="0.2">
      <c r="F39" s="28"/>
      <c r="G39" s="28"/>
    </row>
  </sheetData>
  <phoneticPr fontId="11" alignment="center"/>
  <hyperlinks>
    <hyperlink ref="G12" r:id="rId1" xr:uid="{4D0C5E0D-FB68-5341-AE8C-8C297CA4025A}"/>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74E13"/>
  </sheetPr>
  <dimension ref="A1:P40"/>
  <sheetViews>
    <sheetView zoomScale="167" zoomScaleNormal="100" workbookViewId="0">
      <selection activeCell="L39" sqref="L39"/>
    </sheetView>
  </sheetViews>
  <sheetFormatPr defaultColWidth="8.609375" defaultRowHeight="15" customHeight="1" x14ac:dyDescent="0.2"/>
  <cols>
    <col min="1" max="1" width="7.93359375" customWidth="1"/>
    <col min="2" max="2" width="34.97265625" customWidth="1"/>
    <col min="3" max="3" width="11.1640625" customWidth="1"/>
    <col min="4" max="4" width="7.93359375" customWidth="1"/>
    <col min="5" max="6" width="14.9296875" customWidth="1"/>
    <col min="7" max="7" width="34.4375" customWidth="1"/>
  </cols>
  <sheetData>
    <row r="1" spans="1:15" ht="18" x14ac:dyDescent="0.2">
      <c r="A1" s="1" t="s">
        <v>51</v>
      </c>
    </row>
    <row r="2" spans="1:15" x14ac:dyDescent="0.2">
      <c r="A2" s="6" t="s">
        <v>52</v>
      </c>
    </row>
    <row r="4" spans="1:15" x14ac:dyDescent="0.2">
      <c r="A4" s="7" t="s">
        <v>28</v>
      </c>
      <c r="B4" s="7" t="s">
        <v>29</v>
      </c>
      <c r="C4" s="7" t="s">
        <v>30</v>
      </c>
      <c r="D4" s="7" t="s">
        <v>31</v>
      </c>
      <c r="E4" s="7" t="s">
        <v>32</v>
      </c>
      <c r="F4" s="7" t="s">
        <v>33</v>
      </c>
      <c r="G4" s="7" t="s">
        <v>34</v>
      </c>
    </row>
    <row r="5" spans="1:15" x14ac:dyDescent="0.2">
      <c r="A5" s="10" t="s">
        <v>62</v>
      </c>
      <c r="B5" s="10" t="s">
        <v>169</v>
      </c>
      <c r="C5" s="10"/>
      <c r="D5" s="10"/>
      <c r="E5" s="10"/>
      <c r="F5" s="10"/>
      <c r="G5" s="10"/>
    </row>
    <row r="6" spans="1:15" ht="22.5" x14ac:dyDescent="0.2">
      <c r="A6" s="11" t="s">
        <v>63</v>
      </c>
      <c r="B6" s="12" t="s">
        <v>170</v>
      </c>
      <c r="C6" s="12" t="s">
        <v>171</v>
      </c>
      <c r="D6" s="13">
        <v>12</v>
      </c>
      <c r="E6" s="28">
        <v>187.5</v>
      </c>
      <c r="F6" s="28">
        <f>D6*E6</f>
        <v>2250</v>
      </c>
      <c r="G6" s="12" t="s">
        <v>172</v>
      </c>
      <c r="H6" s="12"/>
      <c r="I6" s="12"/>
      <c r="J6" s="12"/>
      <c r="K6" s="12"/>
      <c r="L6" s="13"/>
      <c r="M6" s="28"/>
      <c r="N6" s="28"/>
      <c r="O6" s="12"/>
    </row>
    <row r="7" spans="1:15" x14ac:dyDescent="0.2">
      <c r="A7" s="11" t="s">
        <v>64</v>
      </c>
      <c r="B7" s="12" t="s">
        <v>173</v>
      </c>
      <c r="C7" s="12" t="s">
        <v>174</v>
      </c>
      <c r="D7" s="13">
        <v>24</v>
      </c>
      <c r="E7" s="28">
        <v>37.5</v>
      </c>
      <c r="F7" s="28">
        <f>D7*E7</f>
        <v>900</v>
      </c>
      <c r="G7" s="12" t="s">
        <v>175</v>
      </c>
    </row>
    <row r="8" spans="1:15" ht="22.5" x14ac:dyDescent="0.2">
      <c r="A8" s="11" t="s">
        <v>168</v>
      </c>
      <c r="B8" s="12" t="s">
        <v>176</v>
      </c>
      <c r="C8" s="12" t="s">
        <v>174</v>
      </c>
      <c r="D8" s="13">
        <v>24</v>
      </c>
      <c r="E8" s="28">
        <v>75</v>
      </c>
      <c r="F8" s="28">
        <f>D8*E8</f>
        <v>1800</v>
      </c>
      <c r="G8" s="12" t="s">
        <v>177</v>
      </c>
      <c r="J8" s="12"/>
      <c r="K8" s="12"/>
      <c r="L8" s="13"/>
      <c r="M8" s="28"/>
      <c r="N8" s="28"/>
      <c r="O8" s="12"/>
    </row>
    <row r="9" spans="1:15" x14ac:dyDescent="0.2">
      <c r="A9" s="15"/>
      <c r="B9" s="15" t="s">
        <v>108</v>
      </c>
      <c r="C9" s="15"/>
      <c r="D9" s="15"/>
      <c r="E9" s="15"/>
      <c r="F9" s="29">
        <f>SUM(F6:F8)</f>
        <v>4950</v>
      </c>
      <c r="G9" s="15"/>
      <c r="J9" s="12"/>
      <c r="K9" s="12"/>
      <c r="L9" s="13"/>
      <c r="M9" s="28"/>
      <c r="N9" s="28"/>
      <c r="O9" s="12"/>
    </row>
    <row r="10" spans="1:15" x14ac:dyDescent="0.2">
      <c r="A10" s="10" t="s">
        <v>179</v>
      </c>
      <c r="B10" s="10" t="s">
        <v>180</v>
      </c>
      <c r="C10" s="10"/>
      <c r="D10" s="10"/>
      <c r="E10" s="10"/>
      <c r="F10" s="10"/>
      <c r="G10" s="10"/>
    </row>
    <row r="11" spans="1:15" x14ac:dyDescent="0.2">
      <c r="A11" s="11" t="s">
        <v>187</v>
      </c>
      <c r="B11" s="12" t="s">
        <v>181</v>
      </c>
      <c r="C11" s="12" t="s">
        <v>171</v>
      </c>
      <c r="D11" s="13">
        <v>12</v>
      </c>
      <c r="E11" s="28">
        <v>75</v>
      </c>
      <c r="F11" s="28">
        <f>D11*E11</f>
        <v>900</v>
      </c>
      <c r="G11" s="12" t="s">
        <v>182</v>
      </c>
    </row>
    <row r="12" spans="1:15" x14ac:dyDescent="0.2">
      <c r="A12" s="11" t="s">
        <v>188</v>
      </c>
      <c r="B12" s="12" t="s">
        <v>183</v>
      </c>
      <c r="C12" s="12" t="s">
        <v>171</v>
      </c>
      <c r="D12" s="13">
        <v>12</v>
      </c>
      <c r="E12" s="28">
        <v>75</v>
      </c>
      <c r="F12" s="28">
        <f>D12*E12</f>
        <v>900</v>
      </c>
      <c r="G12" s="12" t="s">
        <v>184</v>
      </c>
    </row>
    <row r="13" spans="1:15" x14ac:dyDescent="0.2">
      <c r="A13" s="11" t="s">
        <v>189</v>
      </c>
      <c r="B13" s="12" t="s">
        <v>185</v>
      </c>
      <c r="C13" s="12" t="s">
        <v>171</v>
      </c>
      <c r="D13" s="13">
        <v>12</v>
      </c>
      <c r="E13" s="28">
        <v>93.75</v>
      </c>
      <c r="F13" s="28">
        <f>D13*E13</f>
        <v>1125</v>
      </c>
      <c r="G13" s="12" t="s">
        <v>186</v>
      </c>
      <c r="J13" t="s">
        <v>178</v>
      </c>
    </row>
    <row r="14" spans="1:15" x14ac:dyDescent="0.2">
      <c r="A14" s="15"/>
      <c r="B14" s="15" t="s">
        <v>191</v>
      </c>
      <c r="C14" s="15"/>
      <c r="D14" s="15"/>
      <c r="E14" s="15"/>
      <c r="F14" s="29">
        <f>SUM(F11:F13)</f>
        <v>2925</v>
      </c>
      <c r="G14" s="15"/>
    </row>
    <row r="15" spans="1:15" x14ac:dyDescent="0.2">
      <c r="A15" s="10" t="s">
        <v>196</v>
      </c>
      <c r="B15" s="10" t="s">
        <v>190</v>
      </c>
      <c r="C15" s="10"/>
      <c r="D15" s="10"/>
      <c r="E15" s="10"/>
      <c r="F15" s="10"/>
      <c r="G15" s="10"/>
    </row>
    <row r="16" spans="1:15" x14ac:dyDescent="0.2">
      <c r="A16" s="11" t="s">
        <v>197</v>
      </c>
      <c r="B16" s="12" t="s">
        <v>192</v>
      </c>
      <c r="C16" s="12" t="s">
        <v>171</v>
      </c>
      <c r="D16" s="13">
        <v>12</v>
      </c>
      <c r="E16" s="28">
        <v>0</v>
      </c>
      <c r="F16" s="28">
        <f>D16*E16</f>
        <v>0</v>
      </c>
      <c r="G16" s="12" t="s">
        <v>193</v>
      </c>
    </row>
    <row r="17" spans="1:16" x14ac:dyDescent="0.2">
      <c r="A17" s="11" t="s">
        <v>198</v>
      </c>
      <c r="B17" s="12" t="s">
        <v>194</v>
      </c>
      <c r="C17" s="12" t="s">
        <v>171</v>
      </c>
      <c r="D17" s="13">
        <v>12</v>
      </c>
      <c r="E17" s="28">
        <v>0</v>
      </c>
      <c r="F17" s="28">
        <f>D17*E17</f>
        <v>0</v>
      </c>
      <c r="G17" s="12" t="s">
        <v>195</v>
      </c>
    </row>
    <row r="18" spans="1:16" x14ac:dyDescent="0.2">
      <c r="A18" s="11" t="s">
        <v>199</v>
      </c>
      <c r="B18" s="12" t="s">
        <v>200</v>
      </c>
      <c r="C18" s="12" t="s">
        <v>171</v>
      </c>
      <c r="D18" s="13">
        <v>12</v>
      </c>
      <c r="E18" s="28">
        <v>37.5</v>
      </c>
      <c r="F18" s="28">
        <f>D18*E18</f>
        <v>450</v>
      </c>
      <c r="G18" s="12" t="s">
        <v>201</v>
      </c>
    </row>
    <row r="19" spans="1:16" x14ac:dyDescent="0.2">
      <c r="A19" s="15"/>
      <c r="B19" s="15" t="s">
        <v>237</v>
      </c>
      <c r="C19" s="15"/>
      <c r="D19" s="15"/>
      <c r="E19" s="15"/>
      <c r="F19" s="29">
        <f>SUM(F21:F22)</f>
        <v>495</v>
      </c>
      <c r="G19" s="15"/>
    </row>
    <row r="20" spans="1:16" x14ac:dyDescent="0.2">
      <c r="A20" s="10" t="s">
        <v>208</v>
      </c>
      <c r="B20" s="10" t="s">
        <v>202</v>
      </c>
      <c r="C20" s="10"/>
      <c r="D20" s="10"/>
      <c r="E20" s="10"/>
      <c r="F20" s="10"/>
      <c r="G20" s="10"/>
    </row>
    <row r="21" spans="1:16" x14ac:dyDescent="0.2">
      <c r="A21" s="11" t="s">
        <v>209</v>
      </c>
      <c r="B21" s="12" t="s">
        <v>203</v>
      </c>
      <c r="C21" s="12" t="s">
        <v>171</v>
      </c>
      <c r="D21" s="13">
        <v>12</v>
      </c>
      <c r="E21" s="28">
        <v>37.5</v>
      </c>
      <c r="F21" s="28">
        <f>D21*E21</f>
        <v>450</v>
      </c>
      <c r="G21" s="12" t="s">
        <v>204</v>
      </c>
    </row>
    <row r="22" spans="1:16" x14ac:dyDescent="0.2">
      <c r="A22" s="11" t="s">
        <v>210</v>
      </c>
      <c r="B22" s="12" t="s">
        <v>205</v>
      </c>
      <c r="C22" s="12" t="s">
        <v>206</v>
      </c>
      <c r="D22" s="13">
        <v>1</v>
      </c>
      <c r="E22" s="28">
        <v>45</v>
      </c>
      <c r="F22" s="28">
        <f>D22*E22</f>
        <v>45</v>
      </c>
      <c r="G22" s="12" t="s">
        <v>207</v>
      </c>
    </row>
    <row r="23" spans="1:16" x14ac:dyDescent="0.2">
      <c r="A23" s="15"/>
      <c r="B23" s="15" t="s">
        <v>238</v>
      </c>
      <c r="C23" s="15"/>
      <c r="D23" s="15"/>
      <c r="E23" s="15"/>
      <c r="F23" s="29">
        <f>SUM(F20:F22)</f>
        <v>495</v>
      </c>
      <c r="G23" s="15"/>
    </row>
    <row r="24" spans="1:16" x14ac:dyDescent="0.2">
      <c r="A24" s="10" t="s">
        <v>220</v>
      </c>
      <c r="B24" s="10" t="s">
        <v>211</v>
      </c>
      <c r="C24" s="10"/>
      <c r="D24" s="10"/>
      <c r="E24" s="10"/>
      <c r="F24" s="10"/>
      <c r="G24" s="10"/>
    </row>
    <row r="25" spans="1:16" x14ac:dyDescent="0.2">
      <c r="A25" s="11" t="s">
        <v>221</v>
      </c>
      <c r="B25" s="12" t="s">
        <v>212</v>
      </c>
      <c r="C25" s="12" t="s">
        <v>171</v>
      </c>
      <c r="D25" s="13">
        <v>12</v>
      </c>
      <c r="E25" s="28">
        <v>60</v>
      </c>
      <c r="F25" s="28">
        <f>D25*E25</f>
        <v>720</v>
      </c>
      <c r="G25" s="12" t="s">
        <v>131</v>
      </c>
    </row>
    <row r="26" spans="1:16" x14ac:dyDescent="0.2">
      <c r="A26" s="11" t="s">
        <v>222</v>
      </c>
      <c r="B26" s="12" t="s">
        <v>213</v>
      </c>
      <c r="C26" s="12" t="s">
        <v>171</v>
      </c>
      <c r="D26" s="13">
        <v>12</v>
      </c>
      <c r="E26" s="28">
        <v>37.5</v>
      </c>
      <c r="F26" s="28">
        <f>D26*E26</f>
        <v>450</v>
      </c>
      <c r="G26" s="12" t="s">
        <v>214</v>
      </c>
    </row>
    <row r="27" spans="1:16" x14ac:dyDescent="0.2">
      <c r="A27" s="11" t="s">
        <v>223</v>
      </c>
      <c r="B27" s="12" t="s">
        <v>215</v>
      </c>
      <c r="C27" s="12" t="s">
        <v>174</v>
      </c>
      <c r="D27" s="13">
        <v>24</v>
      </c>
      <c r="E27" s="28">
        <v>26.25</v>
      </c>
      <c r="F27" s="28">
        <f>D27*E27</f>
        <v>630</v>
      </c>
      <c r="G27" s="12" t="s">
        <v>216</v>
      </c>
      <c r="J27" s="12"/>
      <c r="K27" s="12"/>
      <c r="L27" s="13"/>
      <c r="M27" s="28"/>
      <c r="N27" s="28"/>
      <c r="O27" s="12"/>
    </row>
    <row r="28" spans="1:16" x14ac:dyDescent="0.2">
      <c r="A28" s="11" t="s">
        <v>224</v>
      </c>
      <c r="B28" s="12" t="s">
        <v>217</v>
      </c>
      <c r="C28" s="12" t="s">
        <v>218</v>
      </c>
      <c r="D28" s="13">
        <v>12</v>
      </c>
      <c r="E28" s="28">
        <v>75</v>
      </c>
      <c r="F28" s="28">
        <f>D28*E28</f>
        <v>900</v>
      </c>
      <c r="G28" s="12" t="s">
        <v>219</v>
      </c>
      <c r="K28" s="12"/>
      <c r="L28" s="12"/>
      <c r="M28" s="13"/>
      <c r="N28" s="28"/>
      <c r="O28" s="28"/>
      <c r="P28" s="12"/>
    </row>
    <row r="29" spans="1:16" x14ac:dyDescent="0.2">
      <c r="A29" s="15"/>
      <c r="B29" s="15" t="s">
        <v>239</v>
      </c>
      <c r="C29" s="15"/>
      <c r="D29" s="15"/>
      <c r="E29" s="15"/>
      <c r="F29" s="29">
        <f>SUM(F25:F28)</f>
        <v>2700</v>
      </c>
      <c r="G29" s="15"/>
    </row>
    <row r="30" spans="1:16" x14ac:dyDescent="0.2">
      <c r="A30" s="10" t="s">
        <v>225</v>
      </c>
      <c r="B30" s="10" t="s">
        <v>231</v>
      </c>
      <c r="C30" s="10"/>
      <c r="D30" s="10"/>
      <c r="E30" s="10"/>
      <c r="F30" s="10"/>
      <c r="G30" s="10"/>
    </row>
    <row r="31" spans="1:16" x14ac:dyDescent="0.2">
      <c r="A31" s="11" t="s">
        <v>226</v>
      </c>
      <c r="B31" s="12" t="s">
        <v>232</v>
      </c>
      <c r="C31" s="12" t="s">
        <v>171</v>
      </c>
      <c r="D31" s="13">
        <v>12</v>
      </c>
      <c r="E31" s="28">
        <v>375</v>
      </c>
      <c r="F31" s="28">
        <f>D31*E31</f>
        <v>4500</v>
      </c>
      <c r="G31" s="12" t="s">
        <v>233</v>
      </c>
    </row>
    <row r="32" spans="1:16" x14ac:dyDescent="0.2">
      <c r="A32" s="11" t="s">
        <v>227</v>
      </c>
      <c r="B32" s="12" t="s">
        <v>234</v>
      </c>
      <c r="C32" s="12" t="s">
        <v>206</v>
      </c>
      <c r="D32" s="13">
        <v>1</v>
      </c>
      <c r="E32" s="28">
        <v>3750</v>
      </c>
      <c r="F32" s="28">
        <f>D32*E32</f>
        <v>3750</v>
      </c>
      <c r="G32" s="12" t="s">
        <v>235</v>
      </c>
    </row>
    <row r="33" spans="1:7" x14ac:dyDescent="0.2">
      <c r="A33" s="15"/>
      <c r="B33" s="15" t="s">
        <v>240</v>
      </c>
      <c r="C33" s="15"/>
      <c r="D33" s="15"/>
      <c r="E33" s="15"/>
      <c r="F33" s="29">
        <f>SUM(F31:F32)</f>
        <v>8250</v>
      </c>
      <c r="G33" s="15"/>
    </row>
    <row r="34" spans="1:7" x14ac:dyDescent="0.2">
      <c r="A34" s="10" t="s">
        <v>228</v>
      </c>
      <c r="B34" s="10" t="s">
        <v>229</v>
      </c>
      <c r="C34" s="10"/>
      <c r="D34" s="10"/>
      <c r="E34" s="10"/>
      <c r="F34" s="10"/>
      <c r="G34" s="10"/>
    </row>
    <row r="35" spans="1:7" ht="15" customHeight="1" x14ac:dyDescent="0.2">
      <c r="A35" s="11" t="s">
        <v>228</v>
      </c>
      <c r="B35" s="12" t="s">
        <v>230</v>
      </c>
      <c r="C35" s="12" t="s">
        <v>171</v>
      </c>
      <c r="D35" s="13">
        <v>12</v>
      </c>
      <c r="E35" s="28">
        <v>11250</v>
      </c>
      <c r="F35" s="28">
        <f>D35*E35</f>
        <v>135000</v>
      </c>
      <c r="G35" s="12" t="s">
        <v>236</v>
      </c>
    </row>
    <row r="36" spans="1:7" ht="15" customHeight="1" x14ac:dyDescent="0.2">
      <c r="A36" s="15"/>
      <c r="B36" s="15" t="s">
        <v>241</v>
      </c>
      <c r="C36" s="15"/>
      <c r="D36" s="15"/>
      <c r="E36" s="15"/>
      <c r="F36" s="29">
        <f>F35</f>
        <v>135000</v>
      </c>
      <c r="G36" s="15"/>
    </row>
    <row r="37" spans="1:7" ht="15" customHeight="1" x14ac:dyDescent="0.2">
      <c r="A37" s="15"/>
      <c r="B37" s="15" t="s">
        <v>243</v>
      </c>
      <c r="C37" s="15"/>
      <c r="D37" s="15"/>
      <c r="E37" s="15"/>
      <c r="F37" s="29">
        <f>F9+F14+F19+F36+F23+F29+F33</f>
        <v>154815</v>
      </c>
      <c r="G37" s="15"/>
    </row>
    <row r="38" spans="1:7" ht="342.75" x14ac:dyDescent="0.2">
      <c r="A38" s="11"/>
      <c r="B38" s="11" t="s">
        <v>49</v>
      </c>
      <c r="C38" s="11"/>
      <c r="D38" s="33"/>
      <c r="E38" s="36">
        <v>0.8</v>
      </c>
      <c r="F38" s="28">
        <f>F37*E38</f>
        <v>123852</v>
      </c>
      <c r="G38" s="12" t="s">
        <v>244</v>
      </c>
    </row>
    <row r="39" spans="1:7" ht="15" customHeight="1" x14ac:dyDescent="0.2">
      <c r="A39" s="16"/>
      <c r="B39" s="16" t="s">
        <v>65</v>
      </c>
      <c r="C39" s="16"/>
      <c r="D39" s="16"/>
      <c r="E39" s="16" t="s">
        <v>166</v>
      </c>
      <c r="F39" s="30">
        <f>F38+F37</f>
        <v>278667</v>
      </c>
      <c r="G39" s="16" t="s">
        <v>242</v>
      </c>
    </row>
    <row r="40" spans="1:7" ht="15" customHeight="1" x14ac:dyDescent="0.2">
      <c r="E40" s="39" t="s">
        <v>167</v>
      </c>
      <c r="F40" s="40">
        <f>F39/3.75</f>
        <v>74311.199999999997</v>
      </c>
      <c r="G40" s="39" t="s">
        <v>242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90000"/>
  </sheetPr>
  <dimension ref="A1:W46"/>
  <sheetViews>
    <sheetView zoomScale="150" zoomScaleNormal="100" workbookViewId="0">
      <selection activeCell="I4" sqref="I4"/>
    </sheetView>
  </sheetViews>
  <sheetFormatPr defaultColWidth="8.609375" defaultRowHeight="15" customHeight="1" x14ac:dyDescent="0.2"/>
  <cols>
    <col min="1" max="1" width="25.01953125" customWidth="1"/>
    <col min="2" max="2" width="18.0234375" customWidth="1"/>
    <col min="3" max="4" width="13.98828125" customWidth="1"/>
    <col min="5" max="5" width="18.5625" customWidth="1"/>
    <col min="6" max="7" width="13.98828125" customWidth="1"/>
    <col min="8" max="8" width="17.75390625" customWidth="1"/>
    <col min="9" max="9" width="13.98828125" customWidth="1"/>
    <col min="10" max="10" width="14.52734375" customWidth="1"/>
    <col min="11" max="11" width="18.5625" customWidth="1"/>
    <col min="12" max="12" width="17.08203125" customWidth="1"/>
    <col min="13" max="13" width="13.98828125" customWidth="1"/>
    <col min="14" max="14" width="17.75390625" customWidth="1"/>
    <col min="15" max="24" width="13.98828125" customWidth="1"/>
  </cols>
  <sheetData>
    <row r="1" spans="1:23" ht="18" x14ac:dyDescent="0.2">
      <c r="A1" s="1" t="s">
        <v>66</v>
      </c>
    </row>
    <row r="2" spans="1:23" x14ac:dyDescent="0.2">
      <c r="A2" s="6" t="s">
        <v>67</v>
      </c>
    </row>
    <row r="4" spans="1:23" x14ac:dyDescent="0.2">
      <c r="A4" s="4" t="s">
        <v>68</v>
      </c>
    </row>
    <row r="5" spans="1:23" x14ac:dyDescent="0.2">
      <c r="A5" s="5" t="s">
        <v>69</v>
      </c>
      <c r="B5" s="31">
        <f>'CapEx BOQ'!F37</f>
        <v>3576.5575000000003</v>
      </c>
    </row>
    <row r="6" spans="1:23" x14ac:dyDescent="0.2">
      <c r="A6" s="5" t="s">
        <v>70</v>
      </c>
      <c r="B6" s="31">
        <f>'OpEx BOQ'!F39</f>
        <v>278667</v>
      </c>
    </row>
    <row r="7" spans="1:23" x14ac:dyDescent="0.2">
      <c r="A7" s="5" t="s">
        <v>13</v>
      </c>
      <c r="B7" s="17">
        <v>5</v>
      </c>
      <c r="C7" s="6" t="s">
        <v>247</v>
      </c>
    </row>
    <row r="8" spans="1:23" x14ac:dyDescent="0.2">
      <c r="A8" s="5" t="s">
        <v>71</v>
      </c>
      <c r="B8" s="18">
        <v>0.25</v>
      </c>
    </row>
    <row r="9" spans="1:23" x14ac:dyDescent="0.2">
      <c r="A9" s="5" t="s">
        <v>72</v>
      </c>
      <c r="B9" s="19">
        <v>100</v>
      </c>
      <c r="C9" s="6" t="s">
        <v>248</v>
      </c>
    </row>
    <row r="10" spans="1:23" x14ac:dyDescent="0.2">
      <c r="A10" s="5" t="s">
        <v>73</v>
      </c>
      <c r="B10" s="18">
        <v>0.4</v>
      </c>
    </row>
    <row r="11" spans="1:23" x14ac:dyDescent="0.2">
      <c r="A11" s="5" t="s">
        <v>74</v>
      </c>
      <c r="B11" s="20">
        <f>B9*365*B10</f>
        <v>14600</v>
      </c>
      <c r="C11" s="6" t="s">
        <v>249</v>
      </c>
    </row>
    <row r="12" spans="1:23" x14ac:dyDescent="0.2">
      <c r="A12" s="5" t="s">
        <v>75</v>
      </c>
      <c r="B12" s="32">
        <v>1.2</v>
      </c>
      <c r="C12" s="6"/>
    </row>
    <row r="13" spans="1:23" x14ac:dyDescent="0.2">
      <c r="A13" s="5" t="s">
        <v>76</v>
      </c>
      <c r="B13" s="31">
        <f>B11*B12</f>
        <v>17520</v>
      </c>
    </row>
    <row r="15" spans="1:23" x14ac:dyDescent="0.2">
      <c r="A15" s="4" t="s">
        <v>77</v>
      </c>
      <c r="C15" s="6" t="s">
        <v>78</v>
      </c>
    </row>
    <row r="16" spans="1:23" x14ac:dyDescent="0.2">
      <c r="A16" s="7" t="s">
        <v>79</v>
      </c>
      <c r="B16" s="7"/>
      <c r="C16" s="7">
        <v>0</v>
      </c>
      <c r="D16" s="7">
        <v>1</v>
      </c>
      <c r="E16" s="7">
        <v>2</v>
      </c>
      <c r="F16" s="7">
        <v>3</v>
      </c>
      <c r="G16" s="7">
        <v>4</v>
      </c>
      <c r="H16" s="7">
        <v>5</v>
      </c>
      <c r="I16" s="7">
        <v>6</v>
      </c>
      <c r="J16" s="7">
        <v>7</v>
      </c>
      <c r="K16" s="7">
        <v>8</v>
      </c>
      <c r="L16" s="7">
        <v>9</v>
      </c>
      <c r="M16" s="7">
        <v>10</v>
      </c>
      <c r="N16" s="7">
        <v>11</v>
      </c>
      <c r="O16" s="7">
        <v>12</v>
      </c>
      <c r="P16" s="7">
        <v>13</v>
      </c>
      <c r="Q16" s="7">
        <v>14</v>
      </c>
      <c r="R16" s="7">
        <v>15</v>
      </c>
      <c r="S16" s="7">
        <v>16</v>
      </c>
      <c r="T16" s="7">
        <v>17</v>
      </c>
      <c r="U16" s="7">
        <v>18</v>
      </c>
      <c r="V16" s="7">
        <v>19</v>
      </c>
      <c r="W16" s="7">
        <v>20</v>
      </c>
    </row>
    <row r="17" spans="1:23" x14ac:dyDescent="0.2">
      <c r="A17" s="5" t="s">
        <v>80</v>
      </c>
      <c r="C17" s="31">
        <f>-B5</f>
        <v>-3576.5575000000003</v>
      </c>
      <c r="D17" s="31">
        <v>0</v>
      </c>
      <c r="E17" s="31">
        <v>0</v>
      </c>
      <c r="F17" s="31">
        <v>0</v>
      </c>
      <c r="G17" s="31">
        <v>0</v>
      </c>
      <c r="H17" s="31">
        <v>0</v>
      </c>
      <c r="I17" s="31">
        <v>0</v>
      </c>
      <c r="J17" s="31">
        <v>0</v>
      </c>
      <c r="K17" s="31">
        <v>0</v>
      </c>
      <c r="L17" s="31">
        <v>0</v>
      </c>
      <c r="M17" s="31">
        <v>0</v>
      </c>
      <c r="N17" s="31">
        <v>0</v>
      </c>
      <c r="O17" s="31">
        <v>0</v>
      </c>
      <c r="P17" s="31">
        <v>0</v>
      </c>
      <c r="Q17" s="31">
        <v>0</v>
      </c>
      <c r="R17" s="31">
        <v>0</v>
      </c>
      <c r="S17" s="31">
        <v>0</v>
      </c>
      <c r="T17" s="31">
        <v>0</v>
      </c>
      <c r="U17" s="31">
        <v>0</v>
      </c>
      <c r="V17" s="31">
        <v>0</v>
      </c>
      <c r="W17" s="31">
        <v>0</v>
      </c>
    </row>
    <row r="18" spans="1:23" x14ac:dyDescent="0.2">
      <c r="A18" s="22" t="s">
        <v>81</v>
      </c>
      <c r="C18" s="31">
        <v>0</v>
      </c>
      <c r="D18" s="31">
        <f>B$13</f>
        <v>17520</v>
      </c>
      <c r="E18" s="31">
        <f>B$13</f>
        <v>17520</v>
      </c>
      <c r="F18" s="31">
        <f>B$13</f>
        <v>17520</v>
      </c>
      <c r="G18" s="31">
        <f>B$13</f>
        <v>17520</v>
      </c>
      <c r="H18" s="31">
        <f>B$13</f>
        <v>17520</v>
      </c>
      <c r="I18" s="31">
        <f>B$13</f>
        <v>17520</v>
      </c>
      <c r="J18" s="31">
        <f>B$13</f>
        <v>17520</v>
      </c>
      <c r="K18" s="31">
        <f>B$13</f>
        <v>17520</v>
      </c>
      <c r="L18" s="31">
        <f>B$13</f>
        <v>17520</v>
      </c>
      <c r="M18" s="31">
        <f>B$13</f>
        <v>17520</v>
      </c>
      <c r="N18" s="31">
        <f>B$13</f>
        <v>17520</v>
      </c>
      <c r="O18" s="31">
        <f>B$13</f>
        <v>17520</v>
      </c>
      <c r="P18" s="31">
        <f>B$13</f>
        <v>17520</v>
      </c>
      <c r="Q18" s="31">
        <f>B$13</f>
        <v>17520</v>
      </c>
      <c r="R18" s="31">
        <f>B$13</f>
        <v>17520</v>
      </c>
      <c r="S18" s="31">
        <f>B$13</f>
        <v>17520</v>
      </c>
      <c r="T18" s="31">
        <f>B$13</f>
        <v>17520</v>
      </c>
      <c r="U18" s="31">
        <f>B$13</f>
        <v>17520</v>
      </c>
      <c r="V18" s="31">
        <f>B$13</f>
        <v>17520</v>
      </c>
      <c r="W18" s="31">
        <f>B$13</f>
        <v>17520</v>
      </c>
    </row>
    <row r="19" spans="1:23" x14ac:dyDescent="0.2">
      <c r="A19" s="22" t="s">
        <v>82</v>
      </c>
      <c r="C19" s="31">
        <v>0</v>
      </c>
      <c r="D19" s="31">
        <f>-B$6</f>
        <v>-278667</v>
      </c>
      <c r="E19" s="31">
        <f>-B$6</f>
        <v>-278667</v>
      </c>
      <c r="F19" s="31">
        <f>-B$6</f>
        <v>-278667</v>
      </c>
      <c r="G19" s="31">
        <f>-B$6</f>
        <v>-278667</v>
      </c>
      <c r="H19" s="31">
        <f>-B$6</f>
        <v>-278667</v>
      </c>
      <c r="I19" s="31">
        <f>-B$6</f>
        <v>-278667</v>
      </c>
      <c r="J19" s="31">
        <f>-B$6</f>
        <v>-278667</v>
      </c>
      <c r="K19" s="31">
        <f>-B$6</f>
        <v>-278667</v>
      </c>
      <c r="L19" s="31">
        <f>-B$6</f>
        <v>-278667</v>
      </c>
      <c r="M19" s="31">
        <f>-B$6</f>
        <v>-278667</v>
      </c>
      <c r="N19" s="31">
        <f>-B$6</f>
        <v>-278667</v>
      </c>
      <c r="O19" s="31">
        <f>-B$6</f>
        <v>-278667</v>
      </c>
      <c r="P19" s="31">
        <f>-B$6</f>
        <v>-278667</v>
      </c>
      <c r="Q19" s="31">
        <f>-B$6</f>
        <v>-278667</v>
      </c>
      <c r="R19" s="31">
        <f>-B$6</f>
        <v>-278667</v>
      </c>
      <c r="S19" s="31">
        <f>-B$6</f>
        <v>-278667</v>
      </c>
      <c r="T19" s="31">
        <f>-B$6</f>
        <v>-278667</v>
      </c>
      <c r="U19" s="31">
        <f>-B$6</f>
        <v>-278667</v>
      </c>
      <c r="V19" s="31">
        <f>-B$6</f>
        <v>-278667</v>
      </c>
      <c r="W19" s="31">
        <f>-B$6</f>
        <v>-278667</v>
      </c>
    </row>
    <row r="20" spans="1:23" x14ac:dyDescent="0.2">
      <c r="A20" s="23" t="s">
        <v>83</v>
      </c>
      <c r="C20" s="24">
        <f t="shared" ref="C20:W20" si="0">C17+C18+C19</f>
        <v>-3576.5575000000003</v>
      </c>
      <c r="D20" s="24">
        <f t="shared" si="0"/>
        <v>-261147</v>
      </c>
      <c r="E20" s="24">
        <f t="shared" si="0"/>
        <v>-261147</v>
      </c>
      <c r="F20" s="24">
        <f t="shared" si="0"/>
        <v>-261147</v>
      </c>
      <c r="G20" s="24">
        <f t="shared" si="0"/>
        <v>-261147</v>
      </c>
      <c r="H20" s="24">
        <f t="shared" si="0"/>
        <v>-261147</v>
      </c>
      <c r="I20" s="24">
        <f t="shared" si="0"/>
        <v>-261147</v>
      </c>
      <c r="J20" s="24">
        <f t="shared" si="0"/>
        <v>-261147</v>
      </c>
      <c r="K20" s="24">
        <f t="shared" si="0"/>
        <v>-261147</v>
      </c>
      <c r="L20" s="24">
        <f t="shared" si="0"/>
        <v>-261147</v>
      </c>
      <c r="M20" s="24">
        <f t="shared" si="0"/>
        <v>-261147</v>
      </c>
      <c r="N20" s="24">
        <f t="shared" si="0"/>
        <v>-261147</v>
      </c>
      <c r="O20" s="24">
        <f t="shared" si="0"/>
        <v>-261147</v>
      </c>
      <c r="P20" s="24">
        <f t="shared" si="0"/>
        <v>-261147</v>
      </c>
      <c r="Q20" s="24">
        <f t="shared" si="0"/>
        <v>-261147</v>
      </c>
      <c r="R20" s="24">
        <f t="shared" si="0"/>
        <v>-261147</v>
      </c>
      <c r="S20" s="24">
        <f t="shared" si="0"/>
        <v>-261147</v>
      </c>
      <c r="T20" s="24">
        <f t="shared" si="0"/>
        <v>-261147</v>
      </c>
      <c r="U20" s="24">
        <f t="shared" si="0"/>
        <v>-261147</v>
      </c>
      <c r="V20" s="24">
        <f t="shared" si="0"/>
        <v>-261147</v>
      </c>
      <c r="W20" s="24">
        <f t="shared" si="0"/>
        <v>-261147</v>
      </c>
    </row>
    <row r="21" spans="1:23" x14ac:dyDescent="0.2">
      <c r="A21" s="22" t="s">
        <v>84</v>
      </c>
      <c r="C21" s="25">
        <f>1/(1+B$8)^0</f>
        <v>1</v>
      </c>
      <c r="D21" s="25">
        <f>1/(1+B$8)^1</f>
        <v>0.8</v>
      </c>
      <c r="E21" s="25">
        <f>1/(1+B$8)^2</f>
        <v>0.64</v>
      </c>
      <c r="F21" s="25">
        <f>1/(1+B$8)^3</f>
        <v>0.51200000000000001</v>
      </c>
      <c r="G21" s="25">
        <f>1/(1+B$8)^4</f>
        <v>0.40960000000000002</v>
      </c>
      <c r="H21" s="25">
        <f>1/(1+B$8)^5</f>
        <v>0.32768000000000003</v>
      </c>
      <c r="I21" s="25">
        <f>1/(1+B$8)^6</f>
        <v>0.26214399999999999</v>
      </c>
      <c r="J21" s="25">
        <f>1/(1+B$8)^7</f>
        <v>0.20971519999999999</v>
      </c>
      <c r="K21" s="25">
        <f>1/(1+B$8)^8</f>
        <v>0.16777216</v>
      </c>
      <c r="L21" s="25">
        <f>1/(1+B$8)^9</f>
        <v>0.13421772800000001</v>
      </c>
      <c r="M21" s="25">
        <f>1/(1+B$8)^10</f>
        <v>0.1073741824</v>
      </c>
      <c r="N21" s="25">
        <f>1/(1+B$8)^11</f>
        <v>8.5899345919999995E-2</v>
      </c>
      <c r="O21" s="25">
        <f>1/(1+B$8)^12</f>
        <v>6.8719476735999999E-2</v>
      </c>
      <c r="P21" s="25">
        <f>1/(1+B$8)^13</f>
        <v>5.4975581388800002E-2</v>
      </c>
      <c r="Q21" s="25">
        <f>1/(1+B$8)^14</f>
        <v>4.398046511104E-2</v>
      </c>
      <c r="R21" s="25">
        <f>1/(1+B$8)^15</f>
        <v>3.5184372088832003E-2</v>
      </c>
      <c r="S21" s="25">
        <f>1/(1+B$8)^16</f>
        <v>2.8147497671065599E-2</v>
      </c>
      <c r="T21" s="25">
        <f>1/(1+B$8)^17</f>
        <v>2.2517998136852482E-2</v>
      </c>
      <c r="U21" s="25">
        <f>1/(1+B$8)^18</f>
        <v>1.8014398509481985E-2</v>
      </c>
      <c r="V21" s="25">
        <f>1/(1+B$8)^19</f>
        <v>1.4411518807585587E-2</v>
      </c>
      <c r="W21" s="25">
        <f>1/(1+B$8)^20</f>
        <v>1.1529215046068469E-2</v>
      </c>
    </row>
    <row r="22" spans="1:23" x14ac:dyDescent="0.2">
      <c r="A22" s="22" t="s">
        <v>85</v>
      </c>
      <c r="C22" s="21">
        <f>C20*C21</f>
        <v>-3576.5575000000003</v>
      </c>
      <c r="D22" s="21">
        <f t="shared" ref="C22:W22" si="1">D20*D21</f>
        <v>-208917.6</v>
      </c>
      <c r="E22" s="21">
        <f t="shared" si="1"/>
        <v>-167134.08000000002</v>
      </c>
      <c r="F22" s="21">
        <f t="shared" si="1"/>
        <v>-133707.264</v>
      </c>
      <c r="G22" s="21">
        <f t="shared" si="1"/>
        <v>-106965.81120000001</v>
      </c>
      <c r="H22" s="21">
        <f t="shared" si="1"/>
        <v>-85572.648960000006</v>
      </c>
      <c r="I22" s="21">
        <f t="shared" si="1"/>
        <v>-68458.11916799999</v>
      </c>
      <c r="J22" s="21">
        <f t="shared" si="1"/>
        <v>-54766.495334399995</v>
      </c>
      <c r="K22" s="21">
        <f t="shared" si="1"/>
        <v>-43813.196267519997</v>
      </c>
      <c r="L22" s="21">
        <f t="shared" si="1"/>
        <v>-35050.557014016005</v>
      </c>
      <c r="M22" s="21">
        <f t="shared" si="1"/>
        <v>-28040.445611212803</v>
      </c>
      <c r="N22" s="21">
        <f t="shared" si="1"/>
        <v>-22432.356488970239</v>
      </c>
      <c r="O22" s="21">
        <f t="shared" si="1"/>
        <v>-17945.885191176192</v>
      </c>
      <c r="P22" s="21">
        <f t="shared" si="1"/>
        <v>-14356.708152940953</v>
      </c>
      <c r="Q22" s="21">
        <f t="shared" si="1"/>
        <v>-11485.366522352762</v>
      </c>
      <c r="R22" s="21">
        <f t="shared" si="1"/>
        <v>-9188.2932178822102</v>
      </c>
      <c r="S22" s="21">
        <f t="shared" si="1"/>
        <v>-7350.6345743057682</v>
      </c>
      <c r="T22" s="21">
        <f t="shared" si="1"/>
        <v>-5880.5076594446155</v>
      </c>
      <c r="U22" s="21">
        <f t="shared" si="1"/>
        <v>-4704.4061275556924</v>
      </c>
      <c r="V22" s="21">
        <f t="shared" si="1"/>
        <v>-3763.5249020445531</v>
      </c>
      <c r="W22" s="21">
        <f t="shared" si="1"/>
        <v>-3010.8199216356425</v>
      </c>
    </row>
    <row r="23" spans="1:23" x14ac:dyDescent="0.2">
      <c r="A23" s="23" t="s">
        <v>86</v>
      </c>
      <c r="C23" s="24">
        <f>C22</f>
        <v>-3576.5575000000003</v>
      </c>
      <c r="D23" s="24">
        <f t="shared" ref="D23:W23" si="2">C23+D22</f>
        <v>-212494.1575</v>
      </c>
      <c r="E23" s="24">
        <f t="shared" si="2"/>
        <v>-379628.23750000005</v>
      </c>
      <c r="F23" s="24">
        <f t="shared" si="2"/>
        <v>-513335.50150000001</v>
      </c>
      <c r="G23" s="24">
        <f t="shared" si="2"/>
        <v>-620301.31270000001</v>
      </c>
      <c r="H23" s="24">
        <f t="shared" si="2"/>
        <v>-705873.96166000003</v>
      </c>
      <c r="I23" s="24">
        <f t="shared" si="2"/>
        <v>-774332.08082799998</v>
      </c>
      <c r="J23" s="24">
        <f t="shared" si="2"/>
        <v>-829098.57616239996</v>
      </c>
      <c r="K23" s="24">
        <f t="shared" si="2"/>
        <v>-872911.77242991992</v>
      </c>
      <c r="L23" s="24">
        <f t="shared" si="2"/>
        <v>-907962.32944393589</v>
      </c>
      <c r="M23" s="24">
        <f t="shared" si="2"/>
        <v>-936002.77505514864</v>
      </c>
      <c r="N23" s="24">
        <f t="shared" si="2"/>
        <v>-958435.13154411886</v>
      </c>
      <c r="O23" s="24">
        <f t="shared" si="2"/>
        <v>-976381.01673529507</v>
      </c>
      <c r="P23" s="24">
        <f t="shared" si="2"/>
        <v>-990737.72488823603</v>
      </c>
      <c r="Q23" s="24">
        <f t="shared" si="2"/>
        <v>-1002223.0914105888</v>
      </c>
      <c r="R23" s="24">
        <f t="shared" si="2"/>
        <v>-1011411.384628471</v>
      </c>
      <c r="S23" s="24">
        <f t="shared" si="2"/>
        <v>-1018762.0192027767</v>
      </c>
      <c r="T23" s="24">
        <f t="shared" si="2"/>
        <v>-1024642.5268622213</v>
      </c>
      <c r="U23" s="24">
        <f t="shared" si="2"/>
        <v>-1029346.9329897769</v>
      </c>
      <c r="V23" s="24">
        <f t="shared" si="2"/>
        <v>-1033110.4578918215</v>
      </c>
      <c r="W23" s="24">
        <f t="shared" si="2"/>
        <v>-1036121.2778134572</v>
      </c>
    </row>
    <row r="24" spans="1:23" x14ac:dyDescent="0.2">
      <c r="A24" s="22" t="s">
        <v>16</v>
      </c>
      <c r="C24" s="20">
        <v>0</v>
      </c>
      <c r="D24" s="20">
        <f>B$11</f>
        <v>14600</v>
      </c>
      <c r="E24" s="20">
        <v>50000</v>
      </c>
      <c r="F24" s="20">
        <v>150000</v>
      </c>
      <c r="G24" s="20">
        <v>400000</v>
      </c>
      <c r="H24" s="20">
        <v>1000000</v>
      </c>
      <c r="I24" s="20">
        <f>B$11</f>
        <v>14600</v>
      </c>
      <c r="J24" s="20">
        <f>B$11</f>
        <v>14600</v>
      </c>
      <c r="K24" s="20">
        <f>B$11</f>
        <v>14600</v>
      </c>
      <c r="L24" s="20">
        <f>B$11</f>
        <v>14600</v>
      </c>
      <c r="M24" s="20">
        <f>B$11</f>
        <v>14600</v>
      </c>
      <c r="N24" s="20">
        <f>B$11</f>
        <v>14600</v>
      </c>
      <c r="O24" s="20">
        <f>B$11</f>
        <v>14600</v>
      </c>
      <c r="P24" s="20">
        <f>B$11</f>
        <v>14600</v>
      </c>
      <c r="Q24" s="20">
        <f>B$11</f>
        <v>14600</v>
      </c>
      <c r="R24" s="20">
        <f>B$11</f>
        <v>14600</v>
      </c>
      <c r="S24" s="20">
        <f>B$11</f>
        <v>14600</v>
      </c>
      <c r="T24" s="20">
        <f>B$11</f>
        <v>14600</v>
      </c>
      <c r="U24" s="20">
        <f>B$11</f>
        <v>14600</v>
      </c>
      <c r="V24" s="20">
        <f>B$11</f>
        <v>14600</v>
      </c>
      <c r="W24" s="20">
        <f>B$11</f>
        <v>14600</v>
      </c>
    </row>
    <row r="25" spans="1:23" x14ac:dyDescent="0.2">
      <c r="A25" s="22" t="s">
        <v>87</v>
      </c>
      <c r="C25" s="20">
        <f t="shared" ref="C25:W25" si="3">C24*C21</f>
        <v>0</v>
      </c>
      <c r="D25" s="20">
        <f>D24*D21</f>
        <v>11680</v>
      </c>
      <c r="E25" s="20">
        <f t="shared" si="3"/>
        <v>32000</v>
      </c>
      <c r="F25" s="20">
        <f t="shared" si="3"/>
        <v>76800</v>
      </c>
      <c r="G25" s="20">
        <f t="shared" si="3"/>
        <v>163840</v>
      </c>
      <c r="H25" s="20">
        <f t="shared" si="3"/>
        <v>327680</v>
      </c>
      <c r="I25" s="20">
        <f t="shared" si="3"/>
        <v>3827.3024</v>
      </c>
      <c r="J25" s="20">
        <f t="shared" si="3"/>
        <v>3061.8419199999998</v>
      </c>
      <c r="K25" s="20">
        <f t="shared" si="3"/>
        <v>2449.473536</v>
      </c>
      <c r="L25" s="20">
        <f t="shared" si="3"/>
        <v>1959.5788288000001</v>
      </c>
      <c r="M25" s="20">
        <f t="shared" si="3"/>
        <v>1567.66306304</v>
      </c>
      <c r="N25" s="20">
        <f t="shared" si="3"/>
        <v>1254.1304504319999</v>
      </c>
      <c r="O25" s="20">
        <f t="shared" si="3"/>
        <v>1003.3043603456</v>
      </c>
      <c r="P25" s="20">
        <f t="shared" si="3"/>
        <v>802.64348827648007</v>
      </c>
      <c r="Q25" s="20">
        <f t="shared" si="3"/>
        <v>642.11479062118394</v>
      </c>
      <c r="R25" s="20">
        <f t="shared" si="3"/>
        <v>513.6918324969472</v>
      </c>
      <c r="S25" s="20">
        <f t="shared" si="3"/>
        <v>410.95346599755777</v>
      </c>
      <c r="T25" s="20">
        <f t="shared" si="3"/>
        <v>328.76277279804623</v>
      </c>
      <c r="U25" s="20">
        <f t="shared" si="3"/>
        <v>263.01021823843701</v>
      </c>
      <c r="V25" s="20">
        <f t="shared" si="3"/>
        <v>210.40817459074958</v>
      </c>
      <c r="W25" s="20">
        <f t="shared" si="3"/>
        <v>168.32653967259964</v>
      </c>
    </row>
    <row r="26" spans="1:23" x14ac:dyDescent="0.2">
      <c r="A26" s="22" t="s">
        <v>88</v>
      </c>
      <c r="C26" s="34">
        <f>(-C17+(-C19))*C21</f>
        <v>3576.5575000000003</v>
      </c>
      <c r="D26" s="31">
        <f t="shared" ref="C26:W26" si="4">(-D17+(-D19))*D21</f>
        <v>222933.6</v>
      </c>
      <c r="E26" s="31">
        <f t="shared" si="4"/>
        <v>178346.88</v>
      </c>
      <c r="F26" s="31">
        <f t="shared" si="4"/>
        <v>142677.50400000002</v>
      </c>
      <c r="G26" s="31">
        <f t="shared" si="4"/>
        <v>114142.00320000001</v>
      </c>
      <c r="H26" s="31">
        <f t="shared" si="4"/>
        <v>91313.602560000014</v>
      </c>
      <c r="I26" s="31">
        <f t="shared" si="4"/>
        <v>73050.882047999999</v>
      </c>
      <c r="J26" s="31">
        <f t="shared" si="4"/>
        <v>58440.705638399995</v>
      </c>
      <c r="K26" s="31">
        <f t="shared" si="4"/>
        <v>46752.564510720003</v>
      </c>
      <c r="L26" s="31">
        <f t="shared" si="4"/>
        <v>37402.051608576003</v>
      </c>
      <c r="M26" s="31">
        <f t="shared" si="4"/>
        <v>29921.641286860802</v>
      </c>
      <c r="N26" s="31">
        <f t="shared" si="4"/>
        <v>23937.31302948864</v>
      </c>
      <c r="O26" s="31">
        <f t="shared" si="4"/>
        <v>19149.850423590913</v>
      </c>
      <c r="P26" s="31">
        <f t="shared" si="4"/>
        <v>15319.88033887273</v>
      </c>
      <c r="Q26" s="31">
        <f t="shared" si="4"/>
        <v>12255.904271098183</v>
      </c>
      <c r="R26" s="31">
        <f t="shared" si="4"/>
        <v>9804.7234168785471</v>
      </c>
      <c r="S26" s="31">
        <f t="shared" si="4"/>
        <v>7843.778733502837</v>
      </c>
      <c r="T26" s="31">
        <f t="shared" si="4"/>
        <v>6275.0229868022707</v>
      </c>
      <c r="U26" s="31">
        <f t="shared" si="4"/>
        <v>5020.018389441816</v>
      </c>
      <c r="V26" s="31">
        <f t="shared" si="4"/>
        <v>4016.0147115534528</v>
      </c>
      <c r="W26" s="31">
        <f t="shared" si="4"/>
        <v>3212.8117692427622</v>
      </c>
    </row>
    <row r="28" spans="1:23" x14ac:dyDescent="0.2">
      <c r="A28" s="4" t="s">
        <v>89</v>
      </c>
    </row>
    <row r="29" spans="1:23" x14ac:dyDescent="0.2">
      <c r="A29" s="5" t="s">
        <v>90</v>
      </c>
      <c r="B29" s="31">
        <f>NPV(B8,D20:W20)+C20</f>
        <v>-1036121.2778134575</v>
      </c>
      <c r="C29" s="9" t="s">
        <v>91</v>
      </c>
    </row>
    <row r="30" spans="1:23" x14ac:dyDescent="0.2">
      <c r="A30" s="5" t="s">
        <v>92</v>
      </c>
      <c r="B30" s="26" t="e">
        <f>IRR(C20:W20)</f>
        <v>#NUM!</v>
      </c>
      <c r="C30" s="9" t="s">
        <v>93</v>
      </c>
    </row>
    <row r="31" spans="1:23" x14ac:dyDescent="0.2">
      <c r="A31" s="5" t="s">
        <v>94</v>
      </c>
      <c r="B31" s="27">
        <f>B5/(B13-B6)</f>
        <v>-1.3695571842678646E-2</v>
      </c>
      <c r="C31" s="9" t="s">
        <v>95</v>
      </c>
    </row>
    <row r="32" spans="1:23" x14ac:dyDescent="0.2">
      <c r="A32" s="5" t="s">
        <v>96</v>
      </c>
      <c r="B32" s="27" t="e">
        <f>MATCH(TRUE(),INDEX(C23:W23&gt;0,0),0)-1</f>
        <v>#N/A</v>
      </c>
      <c r="C32" s="9" t="s">
        <v>97</v>
      </c>
      <c r="J32" s="37"/>
      <c r="K32" s="37"/>
    </row>
    <row r="33" spans="1:14" x14ac:dyDescent="0.2">
      <c r="A33" s="5" t="s">
        <v>98</v>
      </c>
      <c r="B33" s="34">
        <f>SUM(C26:W26)/SUM(C25:W25)</f>
        <v>1.7533034444856426</v>
      </c>
      <c r="C33" s="9" t="s">
        <v>99</v>
      </c>
      <c r="I33" s="37"/>
    </row>
    <row r="34" spans="1:14" ht="15" customHeight="1" x14ac:dyDescent="0.2">
      <c r="J34" s="37"/>
      <c r="K34" s="5"/>
    </row>
    <row r="35" spans="1:14" ht="15" customHeight="1" x14ac:dyDescent="0.2">
      <c r="J35" s="37"/>
    </row>
    <row r="38" spans="1:14" ht="15" customHeight="1" x14ac:dyDescent="0.2">
      <c r="A38" s="41" t="s">
        <v>250</v>
      </c>
      <c r="B38" s="41" t="s">
        <v>251</v>
      </c>
      <c r="D38" s="44" t="s">
        <v>79</v>
      </c>
      <c r="E38" s="44" t="s">
        <v>258</v>
      </c>
      <c r="F38" s="44" t="s">
        <v>259</v>
      </c>
      <c r="G38" s="44" t="s">
        <v>260</v>
      </c>
      <c r="H38" s="44" t="s">
        <v>261</v>
      </c>
      <c r="J38" s="4" t="s">
        <v>262</v>
      </c>
      <c r="K38" s="4" t="s">
        <v>11</v>
      </c>
      <c r="L38" s="4" t="s">
        <v>263</v>
      </c>
      <c r="M38" s="43"/>
      <c r="N38" s="43"/>
    </row>
    <row r="39" spans="1:14" ht="15" customHeight="1" x14ac:dyDescent="0.2">
      <c r="A39" s="41" t="s">
        <v>257</v>
      </c>
      <c r="B39" s="41" t="s">
        <v>252</v>
      </c>
      <c r="D39" s="45">
        <v>0</v>
      </c>
      <c r="E39" s="45">
        <v>0</v>
      </c>
      <c r="F39" s="45">
        <v>0</v>
      </c>
      <c r="G39" s="45">
        <v>0</v>
      </c>
      <c r="H39" s="45">
        <v>-3.5760000000000001</v>
      </c>
      <c r="J39" s="5" t="s">
        <v>264</v>
      </c>
      <c r="K39" s="46" t="s">
        <v>276</v>
      </c>
      <c r="L39" s="46" t="s">
        <v>265</v>
      </c>
      <c r="M39" s="37"/>
      <c r="N39" s="37"/>
    </row>
    <row r="40" spans="1:14" ht="15" customHeight="1" x14ac:dyDescent="0.2">
      <c r="B40" s="41" t="s">
        <v>253</v>
      </c>
      <c r="D40" s="45">
        <v>1</v>
      </c>
      <c r="E40" s="45">
        <v>14.6</v>
      </c>
      <c r="F40" s="45">
        <v>17.52</v>
      </c>
      <c r="G40" s="45">
        <v>278.66699999999997</v>
      </c>
      <c r="H40" s="45">
        <v>-261.14699999999999</v>
      </c>
      <c r="J40" s="5" t="s">
        <v>250</v>
      </c>
      <c r="K40" s="47">
        <v>0.44</v>
      </c>
      <c r="L40" s="46" t="s">
        <v>266</v>
      </c>
      <c r="M40" s="37"/>
      <c r="N40" s="37"/>
    </row>
    <row r="41" spans="1:14" ht="15" customHeight="1" x14ac:dyDescent="0.2">
      <c r="B41" s="41" t="s">
        <v>254</v>
      </c>
      <c r="D41" s="45">
        <v>2</v>
      </c>
      <c r="E41" s="45">
        <v>50</v>
      </c>
      <c r="F41" s="45">
        <v>60</v>
      </c>
      <c r="G41" s="45">
        <v>278.66699999999997</v>
      </c>
      <c r="H41" s="45">
        <v>-218.667</v>
      </c>
      <c r="J41" s="5" t="s">
        <v>267</v>
      </c>
      <c r="K41" s="46" t="s">
        <v>268</v>
      </c>
      <c r="L41" s="46" t="s">
        <v>269</v>
      </c>
      <c r="M41" s="37"/>
      <c r="N41" s="37"/>
    </row>
    <row r="42" spans="1:14" ht="15" customHeight="1" x14ac:dyDescent="0.2">
      <c r="B42" s="41" t="s">
        <v>255</v>
      </c>
      <c r="D42" s="45">
        <v>3</v>
      </c>
      <c r="E42" s="45">
        <v>150</v>
      </c>
      <c r="F42" s="45">
        <v>180</v>
      </c>
      <c r="G42" s="45">
        <v>278.66699999999997</v>
      </c>
      <c r="H42" s="45">
        <v>-98.667000000000002</v>
      </c>
      <c r="J42" s="5" t="s">
        <v>71</v>
      </c>
      <c r="K42" s="47">
        <v>0.25</v>
      </c>
      <c r="L42" s="46" t="s">
        <v>270</v>
      </c>
      <c r="M42" s="37"/>
      <c r="N42" s="37"/>
    </row>
    <row r="43" spans="1:14" ht="15" customHeight="1" x14ac:dyDescent="0.2">
      <c r="B43" s="41" t="s">
        <v>256</v>
      </c>
      <c r="D43" s="45">
        <v>4</v>
      </c>
      <c r="E43" s="45">
        <v>400</v>
      </c>
      <c r="F43" s="45">
        <v>480</v>
      </c>
      <c r="G43" s="45">
        <v>278.66699999999997</v>
      </c>
      <c r="H43" s="45">
        <v>201.333</v>
      </c>
      <c r="J43" s="5" t="s">
        <v>271</v>
      </c>
      <c r="K43" s="46" t="s">
        <v>277</v>
      </c>
      <c r="L43" s="46" t="s">
        <v>272</v>
      </c>
      <c r="M43" s="37"/>
      <c r="N43" s="37"/>
    </row>
    <row r="44" spans="1:14" ht="15" customHeight="1" x14ac:dyDescent="0.2">
      <c r="D44" s="45">
        <v>5</v>
      </c>
      <c r="E44" s="45">
        <v>1000000</v>
      </c>
      <c r="F44" s="45">
        <v>1200000</v>
      </c>
      <c r="G44" s="45">
        <v>278.66699999999997</v>
      </c>
      <c r="H44" s="45">
        <v>921.33299999999997</v>
      </c>
      <c r="J44" s="5" t="s">
        <v>273</v>
      </c>
      <c r="K44" s="46" t="s">
        <v>274</v>
      </c>
      <c r="L44" s="46" t="s">
        <v>275</v>
      </c>
      <c r="M44" s="37"/>
      <c r="N44" s="37"/>
    </row>
    <row r="45" spans="1:14" ht="15" customHeight="1" x14ac:dyDescent="0.2">
      <c r="E45" t="s">
        <v>178</v>
      </c>
    </row>
    <row r="46" spans="1:14" ht="15" customHeight="1" x14ac:dyDescent="0.2">
      <c r="E46" t="s">
        <v>178</v>
      </c>
    </row>
  </sheetData>
  <phoneticPr fontId="11" alignment="center"/>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09362-4AAB-214F-AAF1-8F2E571E2BF2}">
  <dimension ref="A1:G73"/>
  <sheetViews>
    <sheetView topLeftCell="A56" zoomScaleNormal="150" zoomScaleSheetLayoutView="100" workbookViewId="0">
      <selection activeCell="H70" sqref="H70"/>
    </sheetView>
  </sheetViews>
  <sheetFormatPr defaultRowHeight="15" x14ac:dyDescent="0.2"/>
  <cols>
    <col min="2" max="2" width="28.65234375" customWidth="1"/>
    <col min="3" max="3" width="7.12890625" bestFit="1" customWidth="1"/>
    <col min="5" max="5" width="14.796875" customWidth="1"/>
    <col min="6" max="6" width="16.27734375" customWidth="1"/>
    <col min="7" max="7" width="63.8984375" customWidth="1"/>
  </cols>
  <sheetData>
    <row r="1" spans="1:7" ht="18" x14ac:dyDescent="0.2">
      <c r="A1" s="1" t="s">
        <v>245</v>
      </c>
    </row>
    <row r="3" spans="1:7" s="37" customFormat="1" x14ac:dyDescent="0.2">
      <c r="A3" s="7" t="s">
        <v>28</v>
      </c>
      <c r="B3" s="7" t="s">
        <v>29</v>
      </c>
      <c r="C3" s="7" t="s">
        <v>30</v>
      </c>
      <c r="D3" s="7" t="s">
        <v>31</v>
      </c>
      <c r="E3" s="7" t="s">
        <v>32</v>
      </c>
      <c r="F3" s="7" t="s">
        <v>33</v>
      </c>
      <c r="G3" s="7" t="s">
        <v>34</v>
      </c>
    </row>
    <row r="4" spans="1:7" s="37" customFormat="1" x14ac:dyDescent="0.2">
      <c r="A4" s="10" t="s">
        <v>35</v>
      </c>
      <c r="B4" s="10" t="s">
        <v>115</v>
      </c>
      <c r="C4" s="10"/>
      <c r="D4" s="10"/>
      <c r="E4" s="10"/>
      <c r="F4" s="10"/>
      <c r="G4" s="10"/>
    </row>
    <row r="5" spans="1:7" s="37" customFormat="1" ht="22.5" x14ac:dyDescent="0.2">
      <c r="A5" s="11" t="s">
        <v>36</v>
      </c>
      <c r="B5" s="12" t="s">
        <v>116</v>
      </c>
      <c r="C5" s="12" t="s">
        <v>117</v>
      </c>
      <c r="D5" s="13">
        <v>1</v>
      </c>
      <c r="E5" s="28">
        <v>42.3</v>
      </c>
      <c r="F5" s="28">
        <f>D5*E5</f>
        <v>42.3</v>
      </c>
      <c r="G5" s="12" t="s">
        <v>121</v>
      </c>
    </row>
    <row r="6" spans="1:7" s="37" customFormat="1" ht="22.5" x14ac:dyDescent="0.2">
      <c r="A6" s="11" t="s">
        <v>38</v>
      </c>
      <c r="B6" s="12" t="s">
        <v>123</v>
      </c>
      <c r="C6" s="12" t="s">
        <v>119</v>
      </c>
      <c r="D6" s="13">
        <v>1</v>
      </c>
      <c r="E6" s="28">
        <v>52.5</v>
      </c>
      <c r="F6" s="28">
        <f>D6*E6</f>
        <v>52.5</v>
      </c>
      <c r="G6" s="12" t="s">
        <v>125</v>
      </c>
    </row>
    <row r="7" spans="1:7" s="37" customFormat="1" ht="32.25" x14ac:dyDescent="0.2">
      <c r="A7" s="11" t="s">
        <v>39</v>
      </c>
      <c r="B7" s="12" t="s">
        <v>120</v>
      </c>
      <c r="C7" s="12" t="s">
        <v>124</v>
      </c>
      <c r="D7" s="13">
        <v>1</v>
      </c>
      <c r="E7" s="28">
        <v>875</v>
      </c>
      <c r="F7" s="28">
        <f>D7*E7</f>
        <v>875</v>
      </c>
      <c r="G7" s="12" t="s">
        <v>126</v>
      </c>
    </row>
    <row r="8" spans="1:7" s="37" customFormat="1" x14ac:dyDescent="0.2">
      <c r="A8" s="15"/>
      <c r="B8" s="15" t="s">
        <v>102</v>
      </c>
      <c r="C8" s="15"/>
      <c r="D8" s="15"/>
      <c r="E8" s="15"/>
      <c r="F8" s="29">
        <f>SUM(F5:F7)</f>
        <v>969.8</v>
      </c>
      <c r="G8" s="15"/>
    </row>
    <row r="9" spans="1:7" s="37" customFormat="1" x14ac:dyDescent="0.2">
      <c r="A9" s="10" t="s">
        <v>40</v>
      </c>
      <c r="B9" s="10" t="s">
        <v>135</v>
      </c>
      <c r="C9" s="10"/>
      <c r="D9" s="10"/>
      <c r="E9" s="10"/>
      <c r="F9" s="10"/>
      <c r="G9" s="10"/>
    </row>
    <row r="10" spans="1:7" s="37" customFormat="1" ht="22.5" x14ac:dyDescent="0.2">
      <c r="A10" s="11" t="s">
        <v>41</v>
      </c>
      <c r="B10" s="12" t="s">
        <v>127</v>
      </c>
      <c r="C10" s="12" t="s">
        <v>130</v>
      </c>
      <c r="D10" s="13">
        <v>1</v>
      </c>
      <c r="E10" s="14">
        <v>187.5</v>
      </c>
      <c r="F10" s="28">
        <f>D10*E10</f>
        <v>187.5</v>
      </c>
      <c r="G10" s="12" t="s">
        <v>133</v>
      </c>
    </row>
    <row r="11" spans="1:7" s="37" customFormat="1" x14ac:dyDescent="0.2">
      <c r="A11" s="11" t="s">
        <v>42</v>
      </c>
      <c r="B11" s="12" t="s">
        <v>128</v>
      </c>
      <c r="C11" s="12" t="s">
        <v>162</v>
      </c>
      <c r="D11" s="13">
        <v>1</v>
      </c>
      <c r="E11" s="14">
        <v>0</v>
      </c>
      <c r="F11" s="28">
        <f>D11*E11</f>
        <v>0</v>
      </c>
      <c r="G11" s="12" t="s">
        <v>132</v>
      </c>
    </row>
    <row r="12" spans="1:7" s="37" customFormat="1" x14ac:dyDescent="0.2">
      <c r="A12" s="11" t="s">
        <v>43</v>
      </c>
      <c r="B12" s="12" t="s">
        <v>129</v>
      </c>
      <c r="C12" s="12" t="s">
        <v>130</v>
      </c>
      <c r="D12" s="13">
        <v>1</v>
      </c>
      <c r="E12" s="14">
        <v>93.75</v>
      </c>
      <c r="F12" s="28">
        <f>D12*E12</f>
        <v>93.75</v>
      </c>
      <c r="G12" s="12" t="s">
        <v>134</v>
      </c>
    </row>
    <row r="13" spans="1:7" s="37" customFormat="1" x14ac:dyDescent="0.2">
      <c r="A13" s="15"/>
      <c r="B13" s="15" t="s">
        <v>103</v>
      </c>
      <c r="C13" s="15"/>
      <c r="D13" s="15"/>
      <c r="E13" s="15"/>
      <c r="F13" s="29">
        <f>SUM(F10:F12)</f>
        <v>281.25</v>
      </c>
      <c r="G13" s="12"/>
    </row>
    <row r="14" spans="1:7" s="37" customFormat="1" ht="24.75" x14ac:dyDescent="0.2">
      <c r="A14" s="10" t="s">
        <v>44</v>
      </c>
      <c r="B14" s="10" t="s">
        <v>136</v>
      </c>
      <c r="C14" s="10"/>
      <c r="D14" s="10"/>
      <c r="E14" s="10"/>
      <c r="F14" s="10"/>
      <c r="G14" s="10"/>
    </row>
    <row r="15" spans="1:7" s="37" customFormat="1" x14ac:dyDescent="0.2">
      <c r="A15" s="11" t="s">
        <v>45</v>
      </c>
      <c r="B15" s="12" t="s">
        <v>138</v>
      </c>
      <c r="C15" s="12" t="s">
        <v>130</v>
      </c>
      <c r="D15" s="13">
        <v>2</v>
      </c>
      <c r="E15" s="14">
        <v>75</v>
      </c>
      <c r="F15" s="28">
        <f>D15*E15</f>
        <v>150</v>
      </c>
      <c r="G15" s="12" t="s">
        <v>141</v>
      </c>
    </row>
    <row r="16" spans="1:7" s="37" customFormat="1" x14ac:dyDescent="0.2">
      <c r="A16" s="11" t="s">
        <v>46</v>
      </c>
      <c r="B16" s="12" t="s">
        <v>139</v>
      </c>
      <c r="C16" s="12" t="s">
        <v>130</v>
      </c>
      <c r="D16" s="13">
        <v>1</v>
      </c>
      <c r="E16" s="14">
        <v>19</v>
      </c>
      <c r="F16" s="28">
        <f>D16*E16</f>
        <v>19</v>
      </c>
      <c r="G16" s="12" t="s">
        <v>142</v>
      </c>
    </row>
    <row r="17" spans="1:7" s="37" customFormat="1" ht="22.5" x14ac:dyDescent="0.2">
      <c r="A17" s="11" t="s">
        <v>47</v>
      </c>
      <c r="B17" s="12" t="s">
        <v>140</v>
      </c>
      <c r="C17" s="12" t="s">
        <v>130</v>
      </c>
      <c r="D17" s="13">
        <v>1</v>
      </c>
      <c r="E17" s="14">
        <v>938</v>
      </c>
      <c r="F17" s="28">
        <f>D17*E17</f>
        <v>938</v>
      </c>
      <c r="G17" s="12" t="s">
        <v>143</v>
      </c>
    </row>
    <row r="18" spans="1:7" s="37" customFormat="1" x14ac:dyDescent="0.2">
      <c r="A18" s="15"/>
      <c r="B18" s="15" t="s">
        <v>104</v>
      </c>
      <c r="C18" s="15"/>
      <c r="D18" s="15"/>
      <c r="E18" s="15"/>
      <c r="F18" s="29">
        <f>SUM(F15:F17)</f>
        <v>1107</v>
      </c>
      <c r="G18" s="15"/>
    </row>
    <row r="19" spans="1:7" s="37" customFormat="1" ht="24.75" x14ac:dyDescent="0.2">
      <c r="A19" s="10" t="s">
        <v>53</v>
      </c>
      <c r="B19" s="10" t="s">
        <v>144</v>
      </c>
      <c r="C19" s="10"/>
      <c r="D19" s="10"/>
      <c r="E19" s="10"/>
      <c r="F19" s="10"/>
      <c r="G19" s="10"/>
    </row>
    <row r="20" spans="1:7" s="37" customFormat="1" x14ac:dyDescent="0.2">
      <c r="A20" s="11" t="s">
        <v>54</v>
      </c>
      <c r="B20" s="12" t="s">
        <v>145</v>
      </c>
      <c r="C20" s="12" t="s">
        <v>124</v>
      </c>
      <c r="D20" s="13">
        <v>1</v>
      </c>
      <c r="E20" s="14">
        <v>0</v>
      </c>
      <c r="F20" s="28">
        <f>D20*E20</f>
        <v>0</v>
      </c>
      <c r="G20" s="12" t="s">
        <v>163</v>
      </c>
    </row>
    <row r="21" spans="1:7" s="37" customFormat="1" x14ac:dyDescent="0.2">
      <c r="A21" s="11" t="s">
        <v>55</v>
      </c>
      <c r="B21" s="12" t="s">
        <v>146</v>
      </c>
      <c r="C21" s="12" t="s">
        <v>124</v>
      </c>
      <c r="D21" s="13">
        <v>1</v>
      </c>
      <c r="E21" s="14">
        <v>0</v>
      </c>
      <c r="F21" s="28">
        <f>D21*E21</f>
        <v>0</v>
      </c>
      <c r="G21" s="12" t="s">
        <v>163</v>
      </c>
    </row>
    <row r="22" spans="1:7" s="37" customFormat="1" x14ac:dyDescent="0.2">
      <c r="A22" s="11" t="s">
        <v>118</v>
      </c>
      <c r="B22" s="12" t="s">
        <v>147</v>
      </c>
      <c r="C22" s="12" t="s">
        <v>130</v>
      </c>
      <c r="D22" s="13">
        <v>1</v>
      </c>
      <c r="E22" s="14">
        <v>188</v>
      </c>
      <c r="F22" s="28">
        <f>D22*E22</f>
        <v>188</v>
      </c>
      <c r="G22" s="12" t="s">
        <v>148</v>
      </c>
    </row>
    <row r="23" spans="1:7" s="37" customFormat="1" x14ac:dyDescent="0.2">
      <c r="A23" s="15"/>
      <c r="B23" s="15" t="s">
        <v>105</v>
      </c>
      <c r="C23" s="15"/>
      <c r="D23" s="15"/>
      <c r="E23" s="15"/>
      <c r="F23" s="29">
        <f>SUM(F20:F22)</f>
        <v>188</v>
      </c>
      <c r="G23" s="15"/>
    </row>
    <row r="24" spans="1:7" s="37" customFormat="1" x14ac:dyDescent="0.2">
      <c r="A24" s="10" t="s">
        <v>56</v>
      </c>
      <c r="B24" s="10" t="s">
        <v>149</v>
      </c>
      <c r="C24" s="10"/>
      <c r="D24" s="10"/>
      <c r="E24" s="10"/>
      <c r="F24" s="10"/>
      <c r="G24" s="10"/>
    </row>
    <row r="25" spans="1:7" s="37" customFormat="1" x14ac:dyDescent="0.2">
      <c r="A25" s="11" t="s">
        <v>57</v>
      </c>
      <c r="B25" s="12" t="s">
        <v>150</v>
      </c>
      <c r="C25" s="12" t="s">
        <v>124</v>
      </c>
      <c r="D25" s="13">
        <v>1</v>
      </c>
      <c r="E25" s="14">
        <v>0</v>
      </c>
      <c r="F25" s="28">
        <f>D25*E25</f>
        <v>0</v>
      </c>
      <c r="G25" s="12" t="s">
        <v>163</v>
      </c>
    </row>
    <row r="26" spans="1:7" s="37" customFormat="1" x14ac:dyDescent="0.2">
      <c r="A26" s="11" t="s">
        <v>58</v>
      </c>
      <c r="B26" s="12" t="s">
        <v>153</v>
      </c>
      <c r="C26" s="12" t="s">
        <v>124</v>
      </c>
      <c r="D26" s="13">
        <v>1</v>
      </c>
      <c r="E26" s="14">
        <v>94</v>
      </c>
      <c r="F26" s="28">
        <f>D26*E26</f>
        <v>94</v>
      </c>
      <c r="G26" s="12" t="s">
        <v>164</v>
      </c>
    </row>
    <row r="27" spans="1:7" s="37" customFormat="1" x14ac:dyDescent="0.2">
      <c r="A27" s="11" t="s">
        <v>151</v>
      </c>
      <c r="B27" s="12" t="s">
        <v>154</v>
      </c>
      <c r="C27" s="12" t="s">
        <v>124</v>
      </c>
      <c r="D27" s="13">
        <v>1</v>
      </c>
      <c r="E27" s="14">
        <v>0</v>
      </c>
      <c r="F27" s="28">
        <f>D27*E27</f>
        <v>0</v>
      </c>
      <c r="G27" s="12" t="s">
        <v>163</v>
      </c>
    </row>
    <row r="28" spans="1:7" s="37" customFormat="1" x14ac:dyDescent="0.2">
      <c r="A28" s="15"/>
      <c r="B28" s="15" t="s">
        <v>106</v>
      </c>
      <c r="C28" s="15"/>
      <c r="D28" s="15"/>
      <c r="E28" s="15"/>
      <c r="F28" s="29">
        <f>SUM(F25:F27)</f>
        <v>94</v>
      </c>
      <c r="G28" s="15"/>
    </row>
    <row r="29" spans="1:7" s="37" customFormat="1" x14ac:dyDescent="0.2">
      <c r="A29" s="10" t="s">
        <v>59</v>
      </c>
      <c r="B29" s="10" t="s">
        <v>155</v>
      </c>
      <c r="C29" s="10"/>
      <c r="D29" s="10"/>
      <c r="E29" s="10"/>
      <c r="F29" s="10"/>
      <c r="G29" s="10"/>
    </row>
    <row r="30" spans="1:7" s="37" customFormat="1" x14ac:dyDescent="0.2">
      <c r="A30" s="11" t="s">
        <v>60</v>
      </c>
      <c r="B30" s="12" t="s">
        <v>156</v>
      </c>
      <c r="C30" s="12" t="s">
        <v>37</v>
      </c>
      <c r="D30" s="13">
        <v>1</v>
      </c>
      <c r="E30" s="14">
        <v>188</v>
      </c>
      <c r="F30" s="28">
        <f>D30*E30</f>
        <v>188</v>
      </c>
      <c r="G30" s="12" t="s">
        <v>159</v>
      </c>
    </row>
    <row r="31" spans="1:7" s="37" customFormat="1" x14ac:dyDescent="0.2">
      <c r="A31" s="11" t="s">
        <v>61</v>
      </c>
      <c r="B31" s="12" t="s">
        <v>157</v>
      </c>
      <c r="C31" s="12" t="s">
        <v>37</v>
      </c>
      <c r="D31" s="13">
        <v>1</v>
      </c>
      <c r="E31" s="14">
        <v>94</v>
      </c>
      <c r="F31" s="28">
        <f>D31*E31</f>
        <v>94</v>
      </c>
      <c r="G31" s="12" t="s">
        <v>160</v>
      </c>
    </row>
    <row r="32" spans="1:7" s="37" customFormat="1" x14ac:dyDescent="0.2">
      <c r="A32" s="11" t="s">
        <v>152</v>
      </c>
      <c r="B32" s="12" t="s">
        <v>158</v>
      </c>
      <c r="C32" s="12" t="s">
        <v>37</v>
      </c>
      <c r="D32" s="13">
        <v>1</v>
      </c>
      <c r="E32" s="14">
        <v>188</v>
      </c>
      <c r="F32" s="28">
        <f>D32*E32</f>
        <v>188</v>
      </c>
      <c r="G32" s="12" t="s">
        <v>161</v>
      </c>
    </row>
    <row r="33" spans="1:7" s="37" customFormat="1" x14ac:dyDescent="0.2">
      <c r="A33" s="15"/>
      <c r="B33" s="15" t="s">
        <v>107</v>
      </c>
      <c r="C33" s="15"/>
      <c r="D33" s="15"/>
      <c r="E33" s="15"/>
      <c r="F33" s="29">
        <f>SUM(F30:F32)</f>
        <v>470</v>
      </c>
      <c r="G33" s="15"/>
    </row>
    <row r="34" spans="1:7" s="37" customFormat="1" x14ac:dyDescent="0.2">
      <c r="A34" s="15"/>
      <c r="B34" s="15" t="s">
        <v>48</v>
      </c>
      <c r="C34" s="15"/>
      <c r="D34" s="15"/>
      <c r="E34" s="15"/>
      <c r="F34" s="29">
        <f>F8+F13+F18+F23+F28+F33</f>
        <v>3110.05</v>
      </c>
      <c r="G34" s="15"/>
    </row>
    <row r="35" spans="1:7" s="37" customFormat="1" ht="53.25" x14ac:dyDescent="0.2">
      <c r="A35" s="11"/>
      <c r="B35" s="11" t="s">
        <v>49</v>
      </c>
      <c r="C35" s="11"/>
      <c r="D35" s="33"/>
      <c r="E35" s="36">
        <v>0.15</v>
      </c>
      <c r="F35" s="28">
        <f>F34*E35</f>
        <v>466.50749999999999</v>
      </c>
      <c r="G35" s="12" t="s">
        <v>165</v>
      </c>
    </row>
    <row r="36" spans="1:7" s="37" customFormat="1" x14ac:dyDescent="0.2">
      <c r="A36" s="16"/>
      <c r="B36" s="16" t="s">
        <v>50</v>
      </c>
      <c r="C36" s="16"/>
      <c r="D36" s="16"/>
      <c r="E36" s="16" t="s">
        <v>166</v>
      </c>
      <c r="F36" s="30">
        <f>F34+F35</f>
        <v>3576.5575000000003</v>
      </c>
      <c r="G36" s="16"/>
    </row>
    <row r="37" spans="1:7" x14ac:dyDescent="0.2">
      <c r="A37" s="10" t="s">
        <v>62</v>
      </c>
      <c r="B37" s="10" t="s">
        <v>169</v>
      </c>
      <c r="C37" s="10"/>
      <c r="D37" s="10"/>
      <c r="E37" s="10"/>
      <c r="F37" s="10"/>
      <c r="G37" s="10"/>
    </row>
    <row r="38" spans="1:7" x14ac:dyDescent="0.2">
      <c r="A38" s="11" t="s">
        <v>63</v>
      </c>
      <c r="B38" s="12" t="s">
        <v>170</v>
      </c>
      <c r="C38" s="12" t="s">
        <v>171</v>
      </c>
      <c r="D38" s="13">
        <v>12</v>
      </c>
      <c r="E38" s="28">
        <v>187.5</v>
      </c>
      <c r="F38" s="28">
        <f>D38*E38</f>
        <v>2250</v>
      </c>
      <c r="G38" s="12" t="s">
        <v>172</v>
      </c>
    </row>
    <row r="39" spans="1:7" ht="22.5" x14ac:dyDescent="0.2">
      <c r="A39" s="11" t="s">
        <v>64</v>
      </c>
      <c r="B39" s="12" t="s">
        <v>173</v>
      </c>
      <c r="C39" s="12" t="s">
        <v>174</v>
      </c>
      <c r="D39" s="13">
        <v>24</v>
      </c>
      <c r="E39" s="28">
        <v>37.5</v>
      </c>
      <c r="F39" s="28">
        <f>D39*E39</f>
        <v>900</v>
      </c>
      <c r="G39" s="12" t="s">
        <v>175</v>
      </c>
    </row>
    <row r="40" spans="1:7" ht="22.5" x14ac:dyDescent="0.2">
      <c r="A40" s="11" t="s">
        <v>168</v>
      </c>
      <c r="B40" s="12" t="s">
        <v>176</v>
      </c>
      <c r="C40" s="12" t="s">
        <v>174</v>
      </c>
      <c r="D40" s="13">
        <v>24</v>
      </c>
      <c r="E40" s="28">
        <v>75</v>
      </c>
      <c r="F40" s="28">
        <f>D40*E40</f>
        <v>1800</v>
      </c>
      <c r="G40" s="12" t="s">
        <v>177</v>
      </c>
    </row>
    <row r="41" spans="1:7" x14ac:dyDescent="0.2">
      <c r="A41" s="15"/>
      <c r="B41" s="15" t="s">
        <v>108</v>
      </c>
      <c r="C41" s="15"/>
      <c r="D41" s="15"/>
      <c r="E41" s="15"/>
      <c r="F41" s="29">
        <f>SUM(F38:F40)</f>
        <v>4950</v>
      </c>
      <c r="G41" s="15"/>
    </row>
    <row r="42" spans="1:7" x14ac:dyDescent="0.2">
      <c r="A42" s="10" t="s">
        <v>179</v>
      </c>
      <c r="B42" s="10" t="s">
        <v>180</v>
      </c>
      <c r="C42" s="10"/>
      <c r="D42" s="10"/>
      <c r="E42" s="10"/>
      <c r="F42" s="10"/>
      <c r="G42" s="10"/>
    </row>
    <row r="43" spans="1:7" x14ac:dyDescent="0.2">
      <c r="A43" s="11" t="s">
        <v>187</v>
      </c>
      <c r="B43" s="12" t="s">
        <v>181</v>
      </c>
      <c r="C43" s="12" t="s">
        <v>171</v>
      </c>
      <c r="D43" s="13">
        <v>12</v>
      </c>
      <c r="E43" s="28">
        <v>75</v>
      </c>
      <c r="F43" s="28">
        <f>D43*E43</f>
        <v>900</v>
      </c>
      <c r="G43" s="12" t="s">
        <v>182</v>
      </c>
    </row>
    <row r="44" spans="1:7" x14ac:dyDescent="0.2">
      <c r="A44" s="11" t="s">
        <v>188</v>
      </c>
      <c r="B44" s="12" t="s">
        <v>183</v>
      </c>
      <c r="C44" s="12" t="s">
        <v>171</v>
      </c>
      <c r="D44" s="13">
        <v>12</v>
      </c>
      <c r="E44" s="28">
        <v>75</v>
      </c>
      <c r="F44" s="28">
        <f>D44*E44</f>
        <v>900</v>
      </c>
      <c r="G44" s="12" t="s">
        <v>184</v>
      </c>
    </row>
    <row r="45" spans="1:7" x14ac:dyDescent="0.2">
      <c r="A45" s="11" t="s">
        <v>189</v>
      </c>
      <c r="B45" s="12" t="s">
        <v>185</v>
      </c>
      <c r="C45" s="12" t="s">
        <v>171</v>
      </c>
      <c r="D45" s="13">
        <v>12</v>
      </c>
      <c r="E45" s="28">
        <v>93.75</v>
      </c>
      <c r="F45" s="28">
        <f>D45*E45</f>
        <v>1125</v>
      </c>
      <c r="G45" s="12" t="s">
        <v>186</v>
      </c>
    </row>
    <row r="46" spans="1:7" x14ac:dyDescent="0.2">
      <c r="A46" s="15"/>
      <c r="B46" s="15" t="s">
        <v>191</v>
      </c>
      <c r="C46" s="15"/>
      <c r="D46" s="15"/>
      <c r="E46" s="15"/>
      <c r="F46" s="29">
        <f>SUM(F43:F45)</f>
        <v>2925</v>
      </c>
      <c r="G46" s="15"/>
    </row>
    <row r="47" spans="1:7" x14ac:dyDescent="0.2">
      <c r="A47" s="10" t="s">
        <v>196</v>
      </c>
      <c r="B47" s="10" t="s">
        <v>190</v>
      </c>
      <c r="C47" s="10"/>
      <c r="D47" s="10"/>
      <c r="E47" s="10"/>
      <c r="F47" s="10"/>
      <c r="G47" s="10"/>
    </row>
    <row r="48" spans="1:7" x14ac:dyDescent="0.2">
      <c r="A48" s="11" t="s">
        <v>197</v>
      </c>
      <c r="B48" s="12" t="s">
        <v>192</v>
      </c>
      <c r="C48" s="12" t="s">
        <v>171</v>
      </c>
      <c r="D48" s="13">
        <v>12</v>
      </c>
      <c r="E48" s="28">
        <v>0</v>
      </c>
      <c r="F48" s="28">
        <f>D48*E48</f>
        <v>0</v>
      </c>
      <c r="G48" s="12" t="s">
        <v>193</v>
      </c>
    </row>
    <row r="49" spans="1:7" x14ac:dyDescent="0.2">
      <c r="A49" s="11" t="s">
        <v>198</v>
      </c>
      <c r="B49" s="12" t="s">
        <v>194</v>
      </c>
      <c r="C49" s="12" t="s">
        <v>171</v>
      </c>
      <c r="D49" s="13">
        <v>12</v>
      </c>
      <c r="E49" s="28">
        <v>0</v>
      </c>
      <c r="F49" s="28">
        <f>D49*E49</f>
        <v>0</v>
      </c>
      <c r="G49" s="12" t="s">
        <v>195</v>
      </c>
    </row>
    <row r="50" spans="1:7" x14ac:dyDescent="0.2">
      <c r="A50" s="11" t="s">
        <v>199</v>
      </c>
      <c r="B50" s="12" t="s">
        <v>200</v>
      </c>
      <c r="C50" s="12" t="s">
        <v>171</v>
      </c>
      <c r="D50" s="13">
        <v>12</v>
      </c>
      <c r="E50" s="28">
        <v>37.5</v>
      </c>
      <c r="F50" s="28">
        <f>D50*E50</f>
        <v>450</v>
      </c>
      <c r="G50" s="12" t="s">
        <v>201</v>
      </c>
    </row>
    <row r="51" spans="1:7" x14ac:dyDescent="0.2">
      <c r="A51" s="15"/>
      <c r="B51" s="15" t="s">
        <v>237</v>
      </c>
      <c r="C51" s="15"/>
      <c r="D51" s="15"/>
      <c r="E51" s="15"/>
      <c r="F51" s="29">
        <f>SUM(F53:F54)</f>
        <v>495</v>
      </c>
      <c r="G51" s="15"/>
    </row>
    <row r="52" spans="1:7" x14ac:dyDescent="0.2">
      <c r="A52" s="10" t="s">
        <v>208</v>
      </c>
      <c r="B52" s="10" t="s">
        <v>202</v>
      </c>
      <c r="C52" s="10"/>
      <c r="D52" s="10"/>
      <c r="E52" s="10"/>
      <c r="F52" s="10"/>
      <c r="G52" s="10"/>
    </row>
    <row r="53" spans="1:7" x14ac:dyDescent="0.2">
      <c r="A53" s="11" t="s">
        <v>209</v>
      </c>
      <c r="B53" s="12" t="s">
        <v>203</v>
      </c>
      <c r="C53" s="12" t="s">
        <v>171</v>
      </c>
      <c r="D53" s="13">
        <v>12</v>
      </c>
      <c r="E53" s="28">
        <v>37.5</v>
      </c>
      <c r="F53" s="28">
        <f>D53*E53</f>
        <v>450</v>
      </c>
      <c r="G53" s="12" t="s">
        <v>204</v>
      </c>
    </row>
    <row r="54" spans="1:7" x14ac:dyDescent="0.2">
      <c r="A54" s="11" t="s">
        <v>210</v>
      </c>
      <c r="B54" s="12" t="s">
        <v>205</v>
      </c>
      <c r="C54" s="12" t="s">
        <v>206</v>
      </c>
      <c r="D54" s="13">
        <v>1</v>
      </c>
      <c r="E54" s="28">
        <v>45</v>
      </c>
      <c r="F54" s="28">
        <f>D54*E54</f>
        <v>45</v>
      </c>
      <c r="G54" s="12" t="s">
        <v>207</v>
      </c>
    </row>
    <row r="55" spans="1:7" x14ac:dyDescent="0.2">
      <c r="A55" s="15"/>
      <c r="B55" s="15" t="s">
        <v>238</v>
      </c>
      <c r="C55" s="15"/>
      <c r="D55" s="15"/>
      <c r="E55" s="15"/>
      <c r="F55" s="29">
        <f>SUM(F52:F54)</f>
        <v>495</v>
      </c>
      <c r="G55" s="15"/>
    </row>
    <row r="56" spans="1:7" x14ac:dyDescent="0.2">
      <c r="A56" s="10" t="s">
        <v>220</v>
      </c>
      <c r="B56" s="10" t="s">
        <v>211</v>
      </c>
      <c r="C56" s="10"/>
      <c r="D56" s="10"/>
      <c r="E56" s="10"/>
      <c r="F56" s="10"/>
      <c r="G56" s="10"/>
    </row>
    <row r="57" spans="1:7" x14ac:dyDescent="0.2">
      <c r="A57" s="11" t="s">
        <v>221</v>
      </c>
      <c r="B57" s="12" t="s">
        <v>212</v>
      </c>
      <c r="C57" s="12" t="s">
        <v>171</v>
      </c>
      <c r="D57" s="13">
        <v>12</v>
      </c>
      <c r="E57" s="28">
        <v>60</v>
      </c>
      <c r="F57" s="28">
        <f>D57*E57</f>
        <v>720</v>
      </c>
      <c r="G57" s="12" t="s">
        <v>131</v>
      </c>
    </row>
    <row r="58" spans="1:7" x14ac:dyDescent="0.2">
      <c r="A58" s="11" t="s">
        <v>222</v>
      </c>
      <c r="B58" s="12" t="s">
        <v>213</v>
      </c>
      <c r="C58" s="12" t="s">
        <v>171</v>
      </c>
      <c r="D58" s="13">
        <v>12</v>
      </c>
      <c r="E58" s="28">
        <v>37.5</v>
      </c>
      <c r="F58" s="28">
        <f>D58*E58</f>
        <v>450</v>
      </c>
      <c r="G58" s="12" t="s">
        <v>214</v>
      </c>
    </row>
    <row r="59" spans="1:7" ht="22.5" x14ac:dyDescent="0.2">
      <c r="A59" s="11" t="s">
        <v>223</v>
      </c>
      <c r="B59" s="12" t="s">
        <v>215</v>
      </c>
      <c r="C59" s="12" t="s">
        <v>174</v>
      </c>
      <c r="D59" s="13">
        <v>24</v>
      </c>
      <c r="E59" s="28">
        <v>26.25</v>
      </c>
      <c r="F59" s="28">
        <f>D59*E59</f>
        <v>630</v>
      </c>
      <c r="G59" s="12" t="s">
        <v>216</v>
      </c>
    </row>
    <row r="60" spans="1:7" ht="22.5" x14ac:dyDescent="0.2">
      <c r="A60" s="11" t="s">
        <v>224</v>
      </c>
      <c r="B60" s="12" t="s">
        <v>217</v>
      </c>
      <c r="C60" s="12" t="s">
        <v>218</v>
      </c>
      <c r="D60" s="13">
        <v>12</v>
      </c>
      <c r="E60" s="28">
        <v>75</v>
      </c>
      <c r="F60" s="28">
        <f>D60*E60</f>
        <v>900</v>
      </c>
      <c r="G60" s="12" t="s">
        <v>219</v>
      </c>
    </row>
    <row r="61" spans="1:7" x14ac:dyDescent="0.2">
      <c r="A61" s="15"/>
      <c r="B61" s="15" t="s">
        <v>239</v>
      </c>
      <c r="C61" s="15"/>
      <c r="D61" s="15"/>
      <c r="E61" s="15"/>
      <c r="F61" s="29">
        <f>SUM(F57:F60)</f>
        <v>2700</v>
      </c>
      <c r="G61" s="15"/>
    </row>
    <row r="62" spans="1:7" x14ac:dyDescent="0.2">
      <c r="A62" s="10" t="s">
        <v>225</v>
      </c>
      <c r="B62" s="10" t="s">
        <v>231</v>
      </c>
      <c r="C62" s="10"/>
      <c r="D62" s="10"/>
      <c r="E62" s="10"/>
      <c r="F62" s="10"/>
      <c r="G62" s="10"/>
    </row>
    <row r="63" spans="1:7" x14ac:dyDescent="0.2">
      <c r="A63" s="11" t="s">
        <v>226</v>
      </c>
      <c r="B63" s="12" t="s">
        <v>232</v>
      </c>
      <c r="C63" s="12" t="s">
        <v>171</v>
      </c>
      <c r="D63" s="13">
        <v>12</v>
      </c>
      <c r="E63" s="28">
        <v>375</v>
      </c>
      <c r="F63" s="28">
        <f>D63*E63</f>
        <v>4500</v>
      </c>
      <c r="G63" s="12" t="s">
        <v>233</v>
      </c>
    </row>
    <row r="64" spans="1:7" x14ac:dyDescent="0.2">
      <c r="A64" s="11" t="s">
        <v>227</v>
      </c>
      <c r="B64" s="12" t="s">
        <v>234</v>
      </c>
      <c r="C64" s="12" t="s">
        <v>206</v>
      </c>
      <c r="D64" s="13">
        <v>1</v>
      </c>
      <c r="E64" s="28">
        <v>3750</v>
      </c>
      <c r="F64" s="28">
        <f>D64*E64</f>
        <v>3750</v>
      </c>
      <c r="G64" s="12" t="s">
        <v>235</v>
      </c>
    </row>
    <row r="65" spans="1:7" x14ac:dyDescent="0.2">
      <c r="A65" s="15"/>
      <c r="B65" s="15" t="s">
        <v>240</v>
      </c>
      <c r="C65" s="15"/>
      <c r="D65" s="15"/>
      <c r="E65" s="15"/>
      <c r="F65" s="29">
        <f>SUM(F63:F64)</f>
        <v>8250</v>
      </c>
      <c r="G65" s="15"/>
    </row>
    <row r="66" spans="1:7" x14ac:dyDescent="0.2">
      <c r="A66" s="10" t="s">
        <v>228</v>
      </c>
      <c r="B66" s="10" t="s">
        <v>229</v>
      </c>
      <c r="C66" s="10"/>
      <c r="D66" s="10"/>
      <c r="E66" s="10"/>
      <c r="F66" s="10"/>
      <c r="G66" s="10"/>
    </row>
    <row r="67" spans="1:7" x14ac:dyDescent="0.2">
      <c r="A67" s="11" t="s">
        <v>228</v>
      </c>
      <c r="B67" s="12" t="s">
        <v>230</v>
      </c>
      <c r="C67" s="12" t="s">
        <v>171</v>
      </c>
      <c r="D67" s="13">
        <v>12</v>
      </c>
      <c r="E67" s="28">
        <v>11250</v>
      </c>
      <c r="F67" s="28">
        <f>D67*E67</f>
        <v>135000</v>
      </c>
      <c r="G67" s="12" t="s">
        <v>236</v>
      </c>
    </row>
    <row r="68" spans="1:7" x14ac:dyDescent="0.2">
      <c r="A68" s="15"/>
      <c r="B68" s="15" t="s">
        <v>241</v>
      </c>
      <c r="C68" s="15"/>
      <c r="D68" s="15"/>
      <c r="E68" s="15"/>
      <c r="F68" s="29">
        <f>F67</f>
        <v>135000</v>
      </c>
      <c r="G68" s="15"/>
    </row>
    <row r="69" spans="1:7" x14ac:dyDescent="0.2">
      <c r="A69" s="15"/>
      <c r="B69" s="15" t="s">
        <v>243</v>
      </c>
      <c r="C69" s="15"/>
      <c r="D69" s="15"/>
      <c r="E69" s="15"/>
      <c r="F69" s="29">
        <f>F41+F46+F51+F68+F55+F61+F65</f>
        <v>154815</v>
      </c>
      <c r="G69" s="15"/>
    </row>
    <row r="70" spans="1:7" ht="198" x14ac:dyDescent="0.2">
      <c r="A70" s="11"/>
      <c r="B70" s="11" t="s">
        <v>49</v>
      </c>
      <c r="C70" s="11"/>
      <c r="D70" s="33"/>
      <c r="E70" s="36">
        <v>0.8</v>
      </c>
      <c r="F70" s="28">
        <f>F69*E70</f>
        <v>123852</v>
      </c>
      <c r="G70" s="12" t="s">
        <v>244</v>
      </c>
    </row>
    <row r="71" spans="1:7" x14ac:dyDescent="0.2">
      <c r="A71" s="16"/>
      <c r="B71" s="16" t="s">
        <v>65</v>
      </c>
      <c r="C71" s="16"/>
      <c r="D71" s="16"/>
      <c r="E71" s="16" t="s">
        <v>166</v>
      </c>
      <c r="F71" s="30">
        <f>F70+F69</f>
        <v>278667</v>
      </c>
      <c r="G71" s="16" t="s">
        <v>242</v>
      </c>
    </row>
    <row r="72" spans="1:7" x14ac:dyDescent="0.2">
      <c r="A72" s="16"/>
      <c r="B72" s="16" t="s">
        <v>246</v>
      </c>
      <c r="C72" s="16"/>
      <c r="D72" s="16"/>
      <c r="E72" s="16" t="s">
        <v>166</v>
      </c>
      <c r="F72" s="30">
        <f>F71+F36</f>
        <v>282243.5575</v>
      </c>
      <c r="G72" s="16" t="s">
        <v>242</v>
      </c>
    </row>
    <row r="73" spans="1:7" x14ac:dyDescent="0.2">
      <c r="E73" s="41" t="s">
        <v>167</v>
      </c>
      <c r="F73" s="42">
        <f>F72/3.75</f>
        <v>75264.948666666663</v>
      </c>
    </row>
  </sheetData>
  <hyperlinks>
    <hyperlink ref="G11" r:id="rId1" xr:uid="{48744E22-1A5D-9544-9012-97EE4A69A5E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Excel iOS</Application>
  <DocSecurity>0</DocSecurity>
  <ScaleCrop>false</ScaleCrop>
  <HeadingPairs>
    <vt:vector size="2" baseType="variant">
      <vt:variant>
        <vt:lpstr>Worksheets</vt:lpstr>
      </vt:variant>
      <vt:variant>
        <vt:i4>5</vt:i4>
      </vt:variant>
    </vt:vector>
  </HeadingPairs>
  <TitlesOfParts>
    <vt:vector size="5" baseType="lpstr">
      <vt:lpstr>About &amp; Assumptions</vt:lpstr>
      <vt:lpstr>CapEx BOQ</vt:lpstr>
      <vt:lpstr>OpEx BOQ</vt:lpstr>
      <vt:lpstr>TEA Metrics</vt:lpstr>
      <vt:lpstr>BoQ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Rebekah Waller</cp:lastModifiedBy>
  <cp:revision>0</cp:revision>
  <dcterms:created xsi:type="dcterms:W3CDTF">2026-03-04T23:11:45Z</dcterms:created>
  <dcterms:modified xsi:type="dcterms:W3CDTF">2026-03-05T12:38:44Z</dcterms:modified>
  <dc:language>en-US</dc:language>
</cp:coreProperties>
</file>